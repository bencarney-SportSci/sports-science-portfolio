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70b227015b7198e/Documents/Python_Learning/"/>
    </mc:Choice>
  </mc:AlternateContent>
  <xr:revisionPtr revIDLastSave="3125" documentId="11_0D7DF3A4D3905005F560D4F0505ED87656CD0C47" xr6:coauthVersionLast="47" xr6:coauthVersionMax="47" xr10:uidLastSave="{7EBBF7AD-1C20-4926-A545-B8AEBF109853}"/>
  <bookViews>
    <workbookView xWindow="-108" yWindow="-108" windowWidth="23256" windowHeight="12456" firstSheet="4" activeTab="6" xr2:uid="{00000000-000D-0000-FFFF-FFFF00000000}"/>
  </bookViews>
  <sheets>
    <sheet name="Dashboard_Tab" sheetId="8" r:id="rId1"/>
    <sheet name="AvgPlayerLoad_By_position_group" sheetId="2" r:id="rId2"/>
    <sheet name="H-SRD_by_position_group" sheetId="4" r:id="rId3"/>
    <sheet name="%BML_loss_by_position_group" sheetId="5" r:id="rId4"/>
    <sheet name="Daily_Progressive_Fatigue_&amp;_ReS" sheetId="6" r:id="rId5"/>
    <sheet name="Physiological Hydration Respone" sheetId="7" r:id="rId6"/>
    <sheet name="Master_Performance_Data_Sheet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9" i="1" l="1"/>
  <c r="M80" i="1"/>
  <c r="M81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<sst xmlns="http://schemas.openxmlformats.org/spreadsheetml/2006/main" count="282" uniqueCount="54">
  <si>
    <t>day</t>
  </si>
  <si>
    <t>player_ID</t>
  </si>
  <si>
    <t>last_name</t>
  </si>
  <si>
    <t>position</t>
  </si>
  <si>
    <t>position_group</t>
  </si>
  <si>
    <t>baseline_weight_lbs</t>
  </si>
  <si>
    <t>max_velocity_mph</t>
  </si>
  <si>
    <t>player_load</t>
  </si>
  <si>
    <t>top_speed_mph</t>
  </si>
  <si>
    <t>high_speed_running_yards</t>
  </si>
  <si>
    <t>fluid_loss_percentage</t>
  </si>
  <si>
    <t>post_practice_weight_lbs</t>
  </si>
  <si>
    <t>Vance</t>
  </si>
  <si>
    <t>QB</t>
  </si>
  <si>
    <t>Hybrid</t>
  </si>
  <si>
    <t>Mendoza</t>
  </si>
  <si>
    <t>C</t>
  </si>
  <si>
    <t>Lineman</t>
  </si>
  <si>
    <t>Garrity</t>
  </si>
  <si>
    <t>RT</t>
  </si>
  <si>
    <t>Lovelace</t>
  </si>
  <si>
    <t>TE</t>
  </si>
  <si>
    <t>Kensington</t>
  </si>
  <si>
    <t>LT</t>
  </si>
  <si>
    <t>Carter</t>
  </si>
  <si>
    <t>WR</t>
  </si>
  <si>
    <t>Skill</t>
  </si>
  <si>
    <t>Russo</t>
  </si>
  <si>
    <t>G</t>
  </si>
  <si>
    <t>Blackwood</t>
  </si>
  <si>
    <t>Sinclair</t>
  </si>
  <si>
    <t>Delaney</t>
  </si>
  <si>
    <t>RB</t>
  </si>
  <si>
    <t>Patrick</t>
  </si>
  <si>
    <t>FB</t>
  </si>
  <si>
    <t>Sterling</t>
  </si>
  <si>
    <t>Morin</t>
  </si>
  <si>
    <t>Hawthorne</t>
  </si>
  <si>
    <t>Barrett</t>
  </si>
  <si>
    <t>Nguyen</t>
  </si>
  <si>
    <t>Cross</t>
  </si>
  <si>
    <t>Valentine</t>
  </si>
  <si>
    <t>Winslow</t>
  </si>
  <si>
    <t>Parker</t>
  </si>
  <si>
    <t>%_body_mass_loss</t>
  </si>
  <si>
    <t>Row Labels</t>
  </si>
  <si>
    <t>Grand Total</t>
  </si>
  <si>
    <t>Average of player_load</t>
  </si>
  <si>
    <t>Average of high_speed_running_yards</t>
  </si>
  <si>
    <t>Average of %_body_mass_loss</t>
  </si>
  <si>
    <t>Average of top_speed_mph</t>
  </si>
  <si>
    <t>Football Training Camp Performance Dashboard</t>
  </si>
  <si>
    <t>20 Athletes | 4 Day Training Camp | Simulated GPS Performance Data</t>
  </si>
  <si>
    <t>Data are simulated for educational and portfolio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</si>
</sst>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[Football_Performance_Dasboard_Dataset.xlsx]AvgPlayerLoad_By_position_group!PivotTable1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Player Load By Position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rgbClr val="00B0F0"/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AvgPlayerLoad_By_position_group!$B$3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BA-46A2-B64E-7D57150E520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BA-46A2-B64E-7D57150E52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BA-46A2-B64E-7D57150E52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AvgPlayerLoad_By_position_group!$A$4:$A$7</c:f>
              <c:strCache>
                <c:ptCount val="3"/>
                <c:pt idx="0">
                  <c:v>Hybrid</c:v>
                </c:pt>
                <c:pt idx="1">
                  <c:v>Lineman</c:v>
                </c:pt>
                <c:pt idx="2">
                  <c:v>Skill</c:v>
                </c:pt>
              </c:strCache>
            </c:strRef>
          </c:cat>
          <c:val>
            <c:numRef>
              <c:f>AvgPlayerLoad_By_position_group!$B$4:$B$7</c:f>
              <c:numCache>
                <c:formatCode>0.00</c:formatCode>
                <c:ptCount val="3"/>
                <c:pt idx="0">
                  <c:v>455.32557117884261</c:v>
                </c:pt>
                <c:pt idx="1">
                  <c:v>499.16215774176999</c:v>
                </c:pt>
                <c:pt idx="2">
                  <c:v>389.53692115280165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BA-46A2-B64E-7D57150E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569088"/>
        <c:axId val="1996355728"/>
      </c:barChart>
      <c:catAx>
        <c:axId val="206356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55728"/>
        <c:crosses val="autoZero"/>
        <c:auto val="1"/>
        <c:lblAlgn val="ctr"/>
        <c:lblOffset val="100"/>
        <c:noMultiLvlLbl val="0"/>
      </c:catAx>
      <c:valAx>
        <c:axId val="1996355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Player Load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6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[Football_Performance_Dasboard_Dataset.xlsx]H-SRD_by_position_group!PivotTable3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High-Speed Running Distance By Position Group</a:t>
            </a:r>
            <a:endParaRPr lang="en-US"/>
          </a:p>
        </c:rich>
      </c:tx>
      <c:layout>
        <c:manualLayout>
          <c:xMode val="edge"/>
          <c:yMode val="edge"/>
          <c:x val="0.2026282028647764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rgbClr val="00B0F0"/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'H-SRD_by_position_group'!$B$3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13-47C9-98F2-D924A46CB491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3-47C9-98F2-D924A46CB4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13-47C9-98F2-D924A46CB4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'H-SRD_by_position_group'!$A$4:$A$7</c:f>
              <c:strCache>
                <c:ptCount val="3"/>
                <c:pt idx="0">
                  <c:v>Hybrid</c:v>
                </c:pt>
                <c:pt idx="1">
                  <c:v>Lineman</c:v>
                </c:pt>
                <c:pt idx="2">
                  <c:v>Skill</c:v>
                </c:pt>
              </c:strCache>
            </c:strRef>
          </c:cat>
          <c:val>
            <c:numRef>
              <c:f>'H-SRD_by_position_group'!$B$4:$B$7</c:f>
              <c:numCache>
                <c:formatCode>0.00</c:formatCode>
                <c:ptCount val="3"/>
                <c:pt idx="0">
                  <c:v>184.02848592544046</c:v>
                </c:pt>
                <c:pt idx="1">
                  <c:v>10.577809180480877</c:v>
                </c:pt>
                <c:pt idx="2">
                  <c:v>414.08826094629569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13-47C9-98F2-D924A46CB4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9014928"/>
        <c:axId val="1996328848"/>
      </c:barChart>
      <c:catAx>
        <c:axId val="204901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28848"/>
        <c:crosses val="autoZero"/>
        <c:auto val="1"/>
        <c:lblAlgn val="ctr"/>
        <c:lblOffset val="100"/>
        <c:noMultiLvlLbl val="0"/>
      </c:catAx>
      <c:valAx>
        <c:axId val="199632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High-Speed Running Distance (yards)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1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[Football_Performance_Dasboard_Dataset.xlsx]%BML_loss_by_position_group!PivotTable4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Percent</a:t>
            </a:r>
            <a:r>
              <a:rPr lang="en-US" baseline="0"/>
              <a:t> Body Mass Loss By Position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'%BML_loss_by_position_group'!$B$3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0D-4263-AD48-48BB67E8A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0D-4263-AD48-48BB67E8A5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'%BML_loss_by_position_group'!$A$4:$A$7</c:f>
              <c:strCache>
                <c:ptCount val="3"/>
                <c:pt idx="0">
                  <c:v>Hybrid</c:v>
                </c:pt>
                <c:pt idx="1">
                  <c:v>Lineman</c:v>
                </c:pt>
                <c:pt idx="2">
                  <c:v>Skill</c:v>
                </c:pt>
              </c:strCache>
            </c:strRef>
          </c:cat>
          <c:val>
            <c:numRef>
              <c:f>'%BML_loss_by_position_group'!$B$4:$B$7</c:f>
              <c:numCache>
                <c:formatCode>0.0%</c:formatCode>
                <c:ptCount val="3"/>
                <c:pt idx="0">
                  <c:v>1.6792843817442591E-2</c:v>
                </c:pt>
                <c:pt idx="1">
                  <c:v>2.0963097386205675E-2</c:v>
                </c:pt>
                <c:pt idx="2">
                  <c:v>1.1282645304879876E-2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0D-4263-AD48-48BB67E8A5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8616640"/>
        <c:axId val="1996366768"/>
      </c:barChart>
      <c:catAx>
        <c:axId val="40861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66768"/>
        <c:crosses val="autoZero"/>
        <c:auto val="1"/>
        <c:lblAlgn val="ctr"/>
        <c:lblOffset val="100"/>
        <c:noMultiLvlLbl val="0"/>
      </c:catAx>
      <c:valAx>
        <c:axId val="1996366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</a:t>
                </a:r>
                <a:r>
                  <a:rPr lang="en-US"/>
                  <a:t>Body</a:t>
                </a:r>
                <a:r>
                  <a:rPr lang="en-US" baseline="0"/>
                  <a:t> Mass Loss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[Football_Performance_Dasboard_Dataset.xlsx]Daily_Progressive_Fatigue_&amp;_ReS!PivotTable5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External Load and Movement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'Daily_Progressive_Fatigue_&amp;_ReS'!$B$3</c:f>
              <c:strCache>
                <c:ptCount val="1"/>
                <c:pt idx="0">
                  <c:v>Average of player_load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'Daily_Progressive_Fatigue_&amp;_ReS'!$A$4:$A$8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'Daily_Progressive_Fatigue_&amp;_ReS'!$B$4:$B$8</c:f>
              <c:numCache>
                <c:formatCode>0.00</c:formatCode>
                <c:ptCount val="4"/>
                <c:pt idx="0">
                  <c:v>461.59865086266183</c:v>
                </c:pt>
                <c:pt idx="1">
                  <c:v>455.96547091839039</c:v>
                </c:pt>
                <c:pt idx="2">
                  <c:v>469.028210141974</c:v>
                </c:pt>
                <c:pt idx="3">
                  <c:v>456.59447589215813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E-4D9C-8B95-EFF4678029DA}"/>
            </c:ext>
          </c:extLst>
        </c:ser>
        <c:ser>
          <c:idx val="1"/>
          <c:order val="1"/>
          <c:tx>
            <c:strRef>
              <c:f>'Daily_Progressive_Fatigue_&amp;_ReS'!$C$3</c:f>
              <c:strCache>
                <c:ptCount val="1"/>
                <c:pt idx="0">
                  <c:v>Average of high_speed_running_yards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'Daily_Progressive_Fatigue_&amp;_ReS'!$A$4:$A$8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'Daily_Progressive_Fatigue_&amp;_ReS'!$C$4:$C$8</c:f>
              <c:numCache>
                <c:formatCode>0.00</c:formatCode>
                <c:ptCount val="4"/>
                <c:pt idx="0">
                  <c:v>154.76573098941904</c:v>
                </c:pt>
                <c:pt idx="1">
                  <c:v>152.93806269610485</c:v>
                </c:pt>
                <c:pt idx="2">
                  <c:v>155.84275320478059</c:v>
                </c:pt>
                <c:pt idx="3">
                  <c:v>155.72581834239341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E-4D9C-8B95-EFF4678029DA}"/>
            </c:ext>
          </c:extLst>
        </c:ser>
        <c:ser>
          <c:idx val="2"/>
          <c:order val="2"/>
          <c:tx>
            <c:strRef>
              <c:f>'Daily_Progressive_Fatigue_&amp;_ReS'!$D$3</c:f>
              <c:strCache>
                <c:ptCount val="1"/>
                <c:pt idx="0">
                  <c:v>Average of top_speed_mph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'Daily_Progressive_Fatigue_&amp;_ReS'!$A$4:$A$8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'Daily_Progressive_Fatigue_&amp;_ReS'!$D$4:$D$8</c:f>
              <c:numCache>
                <c:formatCode>0.00</c:formatCode>
                <c:ptCount val="4"/>
                <c:pt idx="0">
                  <c:v>15.984678118683155</c:v>
                </c:pt>
                <c:pt idx="1">
                  <c:v>15.839020473560094</c:v>
                </c:pt>
                <c:pt idx="2">
                  <c:v>15.940320442195732</c:v>
                </c:pt>
                <c:pt idx="3">
                  <c:v>16.287176667420376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E-4D9C-8B95-EFF4678029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4882720"/>
        <c:axId val="1986635504"/>
      </c:lineChart>
      <c:catAx>
        <c:axId val="42488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33985163161658732"/>
              <c:y val="0.80969686481497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35504"/>
        <c:crosses val="autoZero"/>
        <c:auto val="1"/>
        <c:lblAlgn val="ctr"/>
        <c:lblOffset val="100"/>
        <c:noMultiLvlLbl val="0"/>
      </c:catAx>
      <c:valAx>
        <c:axId val="19866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"/>
          <c:y val="0.38497630504520258"/>
          <c:w val="0.35"/>
          <c:h val="0.48972331583552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[Football_Performance_Dasboard_Dataset.xlsx]AvgPlayerLoad_By_position_group!PivotTable1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Player Load By Position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AvgPlayerLoad_By_position_group!$B$3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FA-4227-B203-3A9F87DC528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C4-4926-9D1F-0E54B1233F5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DC4-4926-9D1F-0E54B1233F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AvgPlayerLoad_By_position_group!$A$4:$A$7</c:f>
              <c:strCache>
                <c:ptCount val="3"/>
                <c:pt idx="0">
                  <c:v>Hybrid</c:v>
                </c:pt>
                <c:pt idx="1">
                  <c:v>Lineman</c:v>
                </c:pt>
                <c:pt idx="2">
                  <c:v>Skill</c:v>
                </c:pt>
              </c:strCache>
            </c:strRef>
          </c:cat>
          <c:val>
            <c:numRef>
              <c:f>AvgPlayerLoad_By_position_group!$B$4:$B$7</c:f>
              <c:numCache>
                <c:formatCode>0.00</c:formatCode>
                <c:ptCount val="3"/>
                <c:pt idx="0">
                  <c:v>455.32557117884261</c:v>
                </c:pt>
                <c:pt idx="1">
                  <c:v>499.16215774176999</c:v>
                </c:pt>
                <c:pt idx="2">
                  <c:v>389.53692115280165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4-4926-9D1F-0E54B1233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569088"/>
        <c:axId val="1996355728"/>
      </c:barChart>
      <c:catAx>
        <c:axId val="206356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55728"/>
        <c:crosses val="autoZero"/>
        <c:auto val="1"/>
        <c:lblAlgn val="ctr"/>
        <c:lblOffset val="100"/>
        <c:noMultiLvlLbl val="0"/>
      </c:catAx>
      <c:valAx>
        <c:axId val="1996355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Player Load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6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[Football_Performance_Dasboard_Dataset.xlsx]H-SRD_by_position_group!PivotTable3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High-Speed Running Distance By Position Group</a:t>
            </a:r>
            <a:endParaRPr lang="en-US"/>
          </a:p>
        </c:rich>
      </c:tx>
      <c:layout>
        <c:manualLayout>
          <c:xMode val="edge"/>
          <c:yMode val="edge"/>
          <c:x val="0.2026282028647764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'H-SRD_by_position_group'!$B$3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7D-4026-920B-BEB35803C94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7D-4026-920B-BEB35803C9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7D-4026-920B-BEB35803C9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'H-SRD_by_position_group'!$A$4:$A$7</c:f>
              <c:strCache>
                <c:ptCount val="3"/>
                <c:pt idx="0">
                  <c:v>Hybrid</c:v>
                </c:pt>
                <c:pt idx="1">
                  <c:v>Lineman</c:v>
                </c:pt>
                <c:pt idx="2">
                  <c:v>Skill</c:v>
                </c:pt>
              </c:strCache>
            </c:strRef>
          </c:cat>
          <c:val>
            <c:numRef>
              <c:f>'H-SRD_by_position_group'!$B$4:$B$7</c:f>
              <c:numCache>
                <c:formatCode>0.00</c:formatCode>
                <c:ptCount val="3"/>
                <c:pt idx="0">
                  <c:v>184.02848592544046</c:v>
                </c:pt>
                <c:pt idx="1">
                  <c:v>10.577809180480877</c:v>
                </c:pt>
                <c:pt idx="2">
                  <c:v>414.08826094629569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D-4026-920B-BEB35803C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9014928"/>
        <c:axId val="1996328848"/>
      </c:barChart>
      <c:catAx>
        <c:axId val="204901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28848"/>
        <c:crosses val="autoZero"/>
        <c:auto val="1"/>
        <c:lblAlgn val="ctr"/>
        <c:lblOffset val="100"/>
        <c:noMultiLvlLbl val="0"/>
      </c:catAx>
      <c:valAx>
        <c:axId val="199632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High-Speed Running Distance (yards)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1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[Football_Performance_Dasboard_Dataset.xlsx]%BML_loss_by_position_group!PivotTable4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Body Mass Loss By Position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'%BML_loss_by_position_group'!$B$3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68-42DC-B1AB-790A6437D1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68-42DC-B1AB-790A6437D1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'%BML_loss_by_position_group'!$A$4:$A$7</c:f>
              <c:strCache>
                <c:ptCount val="3"/>
                <c:pt idx="0">
                  <c:v>Hybrid</c:v>
                </c:pt>
                <c:pt idx="1">
                  <c:v>Lineman</c:v>
                </c:pt>
                <c:pt idx="2">
                  <c:v>Skill</c:v>
                </c:pt>
              </c:strCache>
            </c:strRef>
          </c:cat>
          <c:val>
            <c:numRef>
              <c:f>'%BML_loss_by_position_group'!$B$4:$B$7</c:f>
              <c:numCache>
                <c:formatCode>0.0%</c:formatCode>
                <c:ptCount val="3"/>
                <c:pt idx="0">
                  <c:v>1.6792843817442591E-2</c:v>
                </c:pt>
                <c:pt idx="1">
                  <c:v>2.0963097386205675E-2</c:v>
                </c:pt>
                <c:pt idx="2">
                  <c:v>1.1282645304879876E-2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8-42DC-B1AB-790A6437D1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8616640"/>
        <c:axId val="1996366768"/>
      </c:barChart>
      <c:catAx>
        <c:axId val="40861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66768"/>
        <c:crosses val="autoZero"/>
        <c:auto val="1"/>
        <c:lblAlgn val="ctr"/>
        <c:lblOffset val="100"/>
        <c:noMultiLvlLbl val="0"/>
      </c:catAx>
      <c:valAx>
        <c:axId val="1996366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</a:t>
                </a:r>
                <a:r>
                  <a:rPr lang="en-US"/>
                  <a:t>Body</a:t>
                </a:r>
                <a:r>
                  <a:rPr lang="en-US" baseline="0"/>
                  <a:t> Mass Loss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[Football_Performance_Dasboard_Dataset.xlsx]Daily_Progressive_Fatigue_&amp;_ReS!PivotTable5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Progressive Fatigue and Recovery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'Daily_Progressive_Fatigue_&amp;_ReS'!$B$3</c:f>
              <c:strCache>
                <c:ptCount val="1"/>
                <c:pt idx="0">
                  <c:v>Average of player_load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'Daily_Progressive_Fatigue_&amp;_ReS'!$A$4:$A$8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'Daily_Progressive_Fatigue_&amp;_ReS'!$B$4:$B$8</c:f>
              <c:numCache>
                <c:formatCode>0.00</c:formatCode>
                <c:ptCount val="4"/>
                <c:pt idx="0">
                  <c:v>461.59865086266183</c:v>
                </c:pt>
                <c:pt idx="1">
                  <c:v>455.96547091839039</c:v>
                </c:pt>
                <c:pt idx="2">
                  <c:v>469.028210141974</c:v>
                </c:pt>
                <c:pt idx="3">
                  <c:v>456.59447589215813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0-447C-A502-C399F6AEF61C}"/>
            </c:ext>
          </c:extLst>
        </c:ser>
        <c:ser>
          <c:idx val="1"/>
          <c:order val="1"/>
          <c:tx>
            <c:strRef>
              <c:f>'Daily_Progressive_Fatigue_&amp;_ReS'!$C$3</c:f>
              <c:strCache>
                <c:ptCount val="1"/>
                <c:pt idx="0">
                  <c:v>Average of high_speed_running_yards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'Daily_Progressive_Fatigue_&amp;_ReS'!$A$4:$A$8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'Daily_Progressive_Fatigue_&amp;_ReS'!$C$4:$C$8</c:f>
              <c:numCache>
                <c:formatCode>0.00</c:formatCode>
                <c:ptCount val="4"/>
                <c:pt idx="0">
                  <c:v>154.76573098941904</c:v>
                </c:pt>
                <c:pt idx="1">
                  <c:v>152.93806269610485</c:v>
                </c:pt>
                <c:pt idx="2">
                  <c:v>155.84275320478059</c:v>
                </c:pt>
                <c:pt idx="3">
                  <c:v>155.72581834239341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0-447C-A502-C399F6AEF61C}"/>
            </c:ext>
          </c:extLst>
        </c:ser>
        <c:ser>
          <c:idx val="2"/>
          <c:order val="2"/>
          <c:tx>
            <c:strRef>
              <c:f>'Daily_Progressive_Fatigue_&amp;_ReS'!$D$3</c:f>
              <c:strCache>
                <c:ptCount val="1"/>
                <c:pt idx="0">
                  <c:v>Average of top_speed_mph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'Daily_Progressive_Fatigue_&amp;_ReS'!$A$4:$A$8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'Daily_Progressive_Fatigue_&amp;_ReS'!$D$4:$D$8</c:f>
              <c:numCache>
                <c:formatCode>0.00</c:formatCode>
                <c:ptCount val="4"/>
                <c:pt idx="0">
                  <c:v>15.984678118683155</c:v>
                </c:pt>
                <c:pt idx="1">
                  <c:v>15.839020473560094</c:v>
                </c:pt>
                <c:pt idx="2">
                  <c:v>15.940320442195732</c:v>
                </c:pt>
                <c:pt idx="3">
                  <c:v>16.287176667420376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0-447C-A502-C399F6AEF6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4882720"/>
        <c:axId val="1986635504"/>
      </c:lineChart>
      <c:catAx>
        <c:axId val="42488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33985163161658732"/>
              <c:y val="0.80969686481497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35504"/>
        <c:crosses val="autoZero"/>
        <c:auto val="1"/>
        <c:lblAlgn val="ctr"/>
        <c:lblOffset val="100"/>
        <c:noMultiLvlLbl val="0"/>
      </c:catAx>
      <c:valAx>
        <c:axId val="19866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[Football_Performance_Dasboard_Dataset.xlsx]Physiological Hydration Respone!PivotTable1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Body Mass Loss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'Physiological Hydration Respone'!$B$3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'Physiological Hydration Respone'!$A$4:$A$8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'Physiological Hydration Respone'!$B$4:$B$8</c:f>
              <c:numCache>
                <c:formatCode>0.0%</c:formatCode>
                <c:ptCount val="4"/>
                <c:pt idx="0">
                  <c:v>1.8208635637336056E-2</c:v>
                </c:pt>
                <c:pt idx="1">
                  <c:v>1.6425668865459285E-2</c:v>
                </c:pt>
                <c:pt idx="2">
                  <c:v>1.656757259281872E-2</c:v>
                </c:pt>
                <c:pt idx="3">
                  <c:v>1.8799806799119755E-2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9-4E10-8EDA-34D5BFA06D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7713487"/>
        <c:axId val="918013007"/>
      </c:lineChart>
      <c:catAx>
        <c:axId val="84771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013007"/>
        <c:crosses val="autoZero"/>
        <c:auto val="1"/>
        <c:lblAlgn val="ctr"/>
        <c:lblOffset val="100"/>
        <c:noMultiLvlLbl val="0"/>
      </c:catAx>
      <c:valAx>
        <c:axId val="918013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Body Mass Loss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4</xdr:row>
      <xdr:rowOff>0</xdr:rowOff>
    </xdr:from>
    <xdr:to>
      <xdr:col>2</xdr:col>
      <xdr:colOff>464820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970C1-7470-4DDE-9E1C-F604C9AB7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472440</xdr:colOff>
      <xdr:row>4</xdr:row>
      <xdr:rowOff>7620</xdr:rowOff>
    </xdr:from>
    <xdr:to>
      <xdr:col>10</xdr:col>
      <xdr:colOff>1996440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1CF22D-6F94-46A9-A50F-73964B53E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518160</xdr:colOff>
      <xdr:row>19</xdr:row>
      <xdr:rowOff>7620</xdr:rowOff>
    </xdr:from>
    <xdr:to>
      <xdr:col>2</xdr:col>
      <xdr:colOff>457200</xdr:colOff>
      <xdr:row>34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D34C5-8B75-4122-830F-D97F26D43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464820</xdr:colOff>
      <xdr:row>19</xdr:row>
      <xdr:rowOff>7620</xdr:rowOff>
    </xdr:from>
    <xdr:to>
      <xdr:col>10</xdr:col>
      <xdr:colOff>1988820</xdr:colOff>
      <xdr:row>34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7431A2-5676-44D4-AC93-7BEEDE79C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731520</xdr:colOff>
      <xdr:row>35</xdr:row>
      <xdr:rowOff>15240</xdr:rowOff>
    </xdr:from>
    <xdr:ext cx="5273040" cy="275395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8B46D9-5C9A-CBF9-376B-C98A70D6D900}"/>
            </a:ext>
          </a:extLst>
        </xdr:cNvPr>
        <xdr:cNvSpPr txBox="1"/>
      </xdr:nvSpPr>
      <xdr:spPr>
        <a:xfrm>
          <a:off x="731520" y="6598920"/>
          <a:ext cx="5273040" cy="275395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Performance Summary:</a:t>
          </a:r>
        </a:p>
        <a:p>
          <a:endParaRPr lang="en-US"/>
        </a:p>
        <a:p>
          <a:r>
            <a:rPr lang="en-US"/>
            <a:t>• Lineman recorded the highest player load (499.16</a:t>
          </a:r>
          <a:r>
            <a:rPr lang="en-US" baseline="0"/>
            <a:t> AU), indicating the lineman group experienced the greatest overall mechanical workout during the training period </a:t>
          </a:r>
        </a:p>
        <a:p>
          <a:endParaRPr lang="en-US"/>
        </a:p>
        <a:p>
          <a:r>
            <a:rPr lang="en-US"/>
            <a:t>• Skill</a:t>
          </a:r>
          <a:r>
            <a:rPr lang="en-US" baseline="0"/>
            <a:t> athletes accumulated the highest average High-Speed Running Distance (414.09 yards), reflecting the greater sprint demands of their position group</a:t>
          </a:r>
          <a:endParaRPr lang="en-US" sz="1100"/>
        </a:p>
        <a:p>
          <a:endParaRPr lang="en-US"/>
        </a:p>
        <a:p>
          <a:r>
            <a:rPr lang="en-US"/>
            <a:t>• Linemen</a:t>
          </a:r>
          <a:r>
            <a:rPr lang="en-US" baseline="0"/>
            <a:t> experienced the greatest average Percent Body Mass Loss (2.1%), suggesting greater physiological strain in comparison with Hybrid and Skill athlete groups</a:t>
          </a:r>
          <a:endParaRPr lang="en-US" sz="1100"/>
        </a:p>
        <a:p>
          <a:endParaRPr lang="en-US" sz="1100"/>
        </a:p>
        <a:p>
          <a:r>
            <a:rPr lang="en-US"/>
            <a:t>• Player</a:t>
          </a:r>
          <a:r>
            <a:rPr lang="en-US" baseline="0"/>
            <a:t> Load peaked on Day 3, while Percent Body Mass Loss peaked on Day 4, indicating possible physiological strain persisting beyond the training day with the greatest external workload</a:t>
          </a:r>
          <a:endParaRPr lang="en-US" sz="1100" baseline="0"/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6</xdr:row>
      <xdr:rowOff>41910</xdr:rowOff>
    </xdr:from>
    <xdr:to>
      <xdr:col>10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AB934-A496-B296-C858-19C323EAF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6</xdr:row>
      <xdr:rowOff>41910</xdr:rowOff>
    </xdr:from>
    <xdr:to>
      <xdr:col>10</xdr:col>
      <xdr:colOff>281940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264FC-15EE-C0D2-5055-FD0CE679E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6</xdr:row>
      <xdr:rowOff>41910</xdr:rowOff>
    </xdr:from>
    <xdr:to>
      <xdr:col>10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50281-7933-A05D-E598-C3928ECB1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1958340</xdr:colOff>
      <xdr:row>8</xdr:row>
      <xdr:rowOff>0</xdr:rowOff>
    </xdr:from>
    <xdr:to>
      <xdr:col>7</xdr:col>
      <xdr:colOff>533400</xdr:colOff>
      <xdr:row>25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9EC68E-65D1-8BBD-13D3-AF26E4A5C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5</xdr:row>
      <xdr:rowOff>3810</xdr:rowOff>
    </xdr:from>
    <xdr:to>
      <xdr:col>12</xdr:col>
      <xdr:colOff>190500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F2E56-A44D-3B7E-DEFC-716ED3559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carn" refreshedDate="46203.600908449072" createdVersion="8" refreshedVersion="8" minRefreshableVersion="3" recordCount="80" xr:uid="{72263BBD-F0A9-4EC1-A49F-F889DB9929A4}">
  <cacheSource type="worksheet">
    <worksheetSource ref="A1:M81" sheet="Master_Performance_Data_Sheet"/>
  </cacheSource>
  <cacheFields count="13">
    <cacheField name="day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layer_ID" numFmtId="0">
      <sharedItems containsSemiMixedTypes="0" containsString="0" containsNumber="1" containsInteger="1" minValue="101" maxValue="120"/>
    </cacheField>
    <cacheField name="last_name" numFmtId="0">
      <sharedItems/>
    </cacheField>
    <cacheField name="position" numFmtId="0">
      <sharedItems/>
    </cacheField>
    <cacheField name="position_group" numFmtId="0">
      <sharedItems count="3">
        <s v="Hybrid"/>
        <s v="Lineman"/>
        <s v="Skill"/>
      </sharedItems>
    </cacheField>
    <cacheField name="baseline_weight_lbs" numFmtId="0">
      <sharedItems containsSemiMixedTypes="0" containsString="0" containsNumber="1" minValue="190.1" maxValue="345.8"/>
    </cacheField>
    <cacheField name="max_velocity_mph" numFmtId="0">
      <sharedItems containsSemiMixedTypes="0" containsString="0" containsNumber="1" minValue="15.8" maxValue="22.6"/>
    </cacheField>
    <cacheField name="player_load" numFmtId="2">
      <sharedItems containsSemiMixedTypes="0" containsString="0" containsNumber="1" minValue="351.49853232041102" maxValue="548.0784896244528"/>
    </cacheField>
    <cacheField name="top_speed_mph" numFmtId="2">
      <sharedItems containsSemiMixedTypes="0" containsString="0" containsNumber="1" minValue="12.01813371154541" maxValue="20.669680976148499"/>
    </cacheField>
    <cacheField name="high_speed_running_yards" numFmtId="2">
      <sharedItems containsSemiMixedTypes="0" containsString="0" containsNumber="1" minValue="0.36155591619846378" maxValue="499.61411527645993"/>
    </cacheField>
    <cacheField name="fluid_loss_percentage" numFmtId="2">
      <sharedItems containsSemiMixedTypes="0" containsString="0" containsNumber="1" minValue="0.53700640468299632" maxValue="2.4825623498930329"/>
    </cacheField>
    <cacheField name="post_practice_weight_lbs" numFmtId="165">
      <sharedItems containsSemiMixedTypes="0" containsString="0" containsNumber="1" minValue="187.3457159421738" maxValue="339.12017124542501"/>
    </cacheField>
    <cacheField name="%_body_mass_loss" numFmtId="164">
      <sharedItems containsSemiMixedTypes="0" containsString="0" containsNumber="1" minValue="6.2477605455712086E-3" maxValue="2.669214278405915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n v="101"/>
    <s v="Vance"/>
    <s v="QB"/>
    <x v="0"/>
    <n v="217.3"/>
    <n v="19.399999999999999"/>
    <n v="486.13724832717679"/>
    <n v="16.607498917245621"/>
    <n v="173.8075383673897"/>
    <n v="1.2608981866591951"/>
    <n v="214.26385093494949"/>
    <n v="1.397215400391405E-2"/>
  </r>
  <r>
    <x v="0"/>
    <n v="102"/>
    <s v="Mendoza"/>
    <s v="C"/>
    <x v="1"/>
    <n v="312.2"/>
    <n v="17.8"/>
    <n v="461.70018977262453"/>
    <n v="14.429922761083199"/>
    <n v="17.689913192851829"/>
    <n v="1.934049385087603"/>
    <n v="305.9657659185267"/>
    <n v="1.996871903098427E-2"/>
  </r>
  <r>
    <x v="0"/>
    <n v="103"/>
    <s v="Garrity"/>
    <s v="RT"/>
    <x v="1"/>
    <n v="345.7"/>
    <n v="15.8"/>
    <n v="522.9507475457267"/>
    <n v="13.672355496247439"/>
    <n v="4.5419978755422097"/>
    <n v="2.4002945358137828"/>
    <n v="336.71898385144237"/>
    <n v="2.5979219405720611E-2"/>
  </r>
  <r>
    <x v="0"/>
    <n v="104"/>
    <s v="Lovelace"/>
    <s v="TE"/>
    <x v="0"/>
    <n v="240.6"/>
    <n v="20.100000000000001"/>
    <n v="459.73230621233819"/>
    <n v="17.85725005087766"/>
    <n v="138.1223157733321"/>
    <n v="1.9491449821015949"/>
    <n v="235.32205204295619"/>
    <n v="2.1936608300265201E-2"/>
  </r>
  <r>
    <x v="0"/>
    <n v="105"/>
    <s v="Kensington"/>
    <s v="LT"/>
    <x v="1"/>
    <n v="330.9"/>
    <n v="16.100000000000001"/>
    <n v="487.49541444206028"/>
    <n v="14.38795099862838"/>
    <n v="8.0944861171215248"/>
    <n v="2.302210286985459"/>
    <n v="322.40270605294802"/>
    <n v="2.5679341030679839E-2"/>
  </r>
  <r>
    <x v="0"/>
    <n v="106"/>
    <s v="Carter"/>
    <s v="WR"/>
    <x v="2"/>
    <n v="190.1"/>
    <n v="22.6"/>
    <n v="376.35782023218741"/>
    <n v="19.84102754982549"/>
    <n v="499.61411527645993"/>
    <n v="0.57247330511219074"/>
    <n v="188.91230072028691"/>
    <n v="6.2477605455712086E-3"/>
  </r>
  <r>
    <x v="0"/>
    <n v="107"/>
    <s v="Russo"/>
    <s v="G"/>
    <x v="1"/>
    <n v="320.10000000000002"/>
    <n v="16.399999999999999"/>
    <n v="532.95195438980898"/>
    <n v="13.38481365899122"/>
    <n v="4.278276871615514"/>
    <n v="2.2734088135896919"/>
    <n v="312.72509179651303"/>
    <n v="2.303938832704466E-2"/>
  </r>
  <r>
    <x v="0"/>
    <n v="108"/>
    <s v="Blackwood"/>
    <s v="G"/>
    <x v="1"/>
    <n v="318.5"/>
    <n v="17.100000000000001"/>
    <n v="543.48904125683191"/>
    <n v="13.53005054480408"/>
    <n v="3.2884766294193302"/>
    <n v="1.8327407672906419"/>
    <n v="312.17188436001578"/>
    <n v="1.9868494945005397E-2"/>
  </r>
  <r>
    <x v="0"/>
    <n v="109"/>
    <s v="Sinclair"/>
    <s v="WR"/>
    <x v="2"/>
    <n v="196.3"/>
    <n v="22.2"/>
    <n v="444.7610782907542"/>
    <n v="20.669680976148499"/>
    <n v="473.8270234827225"/>
    <n v="0.9842222935441054"/>
    <n v="194.0709243046536"/>
    <n v="1.1355454382814109E-2"/>
  </r>
  <r>
    <x v="0"/>
    <n v="110"/>
    <s v="Delaney"/>
    <s v="RB"/>
    <x v="2"/>
    <n v="215.7"/>
    <n v="21"/>
    <n v="353.39059392466328"/>
    <n v="19.81115775745463"/>
    <n v="319.49807203958818"/>
    <n v="0.86407664820745933"/>
    <n v="213.142235206354"/>
    <n v="1.1857973081344399E-2"/>
  </r>
  <r>
    <x v="0"/>
    <n v="111"/>
    <s v="Patrick"/>
    <s v="FB"/>
    <x v="0"/>
    <n v="245.4"/>
    <n v="18.2"/>
    <n v="452.76232208146382"/>
    <n v="15.771477390752519"/>
    <n v="114.813427433801"/>
    <n v="1.622637856103667"/>
    <n v="241.024537252546"/>
    <n v="1.7829921546267353E-2"/>
  </r>
  <r>
    <x v="0"/>
    <n v="112"/>
    <s v="Sterling"/>
    <s v="RB"/>
    <x v="2"/>
    <n v="205.5"/>
    <n v="21.8"/>
    <n v="364.3616681550439"/>
    <n v="20.378419345173281"/>
    <n v="487.96329482209143"/>
    <n v="0.53700640468299632"/>
    <n v="203.8991368703999"/>
    <n v="7.7900882218982963E-3"/>
  </r>
  <r>
    <x v="0"/>
    <n v="113"/>
    <s v="Morin"/>
    <s v="G"/>
    <x v="1"/>
    <n v="317.8"/>
    <n v="16.899999999999999"/>
    <n v="547.22491112615114"/>
    <n v="12.627953732548759"/>
    <n v="6.9120719513955642"/>
    <n v="2.4039846411150472"/>
    <n v="309.37936868766531"/>
    <n v="2.6496637232016066E-2"/>
  </r>
  <r>
    <x v="0"/>
    <n v="114"/>
    <s v="Hawthorne"/>
    <s v="C"/>
    <x v="1"/>
    <n v="309.7"/>
    <n v="16.8"/>
    <n v="475.58665169981822"/>
    <n v="14.99465093960168"/>
    <n v="15.745215751335429"/>
    <n v="1.558612031098394"/>
    <n v="304.18388882390599"/>
    <n v="1.7811143610248631E-2"/>
  </r>
  <r>
    <x v="0"/>
    <n v="115"/>
    <s v="Barrett"/>
    <s v="QB"/>
    <x v="0"/>
    <n v="225.6"/>
    <n v="18.600000000000001"/>
    <n v="406.49227455929969"/>
    <n v="17.467636320811948"/>
    <n v="157.65626733076189"/>
    <n v="1.0711288511418919"/>
    <n v="222.58996008493071"/>
    <n v="1.3342375510058888E-2"/>
  </r>
  <r>
    <x v="0"/>
    <n v="116"/>
    <s v="Nguyen"/>
    <s v="TE"/>
    <x v="0"/>
    <n v="252.2"/>
    <n v="18.8"/>
    <n v="432.40575335093172"/>
    <n v="16.530500974866989"/>
    <n v="228.86842342275321"/>
    <n v="1.404654477856029"/>
    <n v="248.46027071580281"/>
    <n v="1.4828426979370269E-2"/>
  </r>
  <r>
    <x v="0"/>
    <n v="117"/>
    <s v="Cross"/>
    <s v="RT"/>
    <x v="1"/>
    <n v="320.10000000000002"/>
    <n v="16"/>
    <n v="454.32690475467678"/>
    <n v="12.52928616340337"/>
    <n v="16.11485457228294"/>
    <n v="2.254666039370957"/>
    <n v="312.78506867401302"/>
    <n v="2.2852019137728847E-2"/>
  </r>
  <r>
    <x v="0"/>
    <n v="118"/>
    <s v="Valentine"/>
    <s v="G"/>
    <x v="1"/>
    <n v="321.2"/>
    <n v="17"/>
    <n v="506.0638819514383"/>
    <n v="12.47598914003893"/>
    <n v="10.7060250715741"/>
    <n v="2.2934096790541609"/>
    <n v="313.63815493023623"/>
    <n v="2.3542481537247084E-2"/>
  </r>
  <r>
    <x v="0"/>
    <n v="119"/>
    <s v="Winslow"/>
    <s v="LT"/>
    <x v="1"/>
    <n v="325.3"/>
    <n v="16.2"/>
    <n v="528.64435116070092"/>
    <n v="13.43318091247532"/>
    <n v="17.69441233415251"/>
    <n v="2.3425571823774298"/>
    <n v="317.38668915727339"/>
    <n v="2.4326193798729225E-2"/>
  </r>
  <r>
    <x v="0"/>
    <n v="120"/>
    <s v="Parker"/>
    <s v="WR"/>
    <x v="2"/>
    <n v="202.3"/>
    <n v="22"/>
    <n v="395.13790401953958"/>
    <n v="19.292758742684111"/>
    <n v="396.07841147218983"/>
    <n v="1.398610664276303"/>
    <n v="199.1748064581619"/>
    <n v="1.5448312119812728E-2"/>
  </r>
  <r>
    <x v="1"/>
    <n v="101"/>
    <s v="Vance"/>
    <s v="QB"/>
    <x v="0"/>
    <n v="217.2"/>
    <n v="19.399999999999999"/>
    <n v="422.96714537262221"/>
    <n v="16.628253855604221"/>
    <n v="147.75275450008701"/>
    <n v="1.1993374091341309"/>
    <n v="214.39743782217889"/>
    <n v="1.2903140781865111E-2"/>
  </r>
  <r>
    <x v="1"/>
    <n v="102"/>
    <s v="Mendoza"/>
    <s v="C"/>
    <x v="1"/>
    <n v="312.39999999999998"/>
    <n v="17.8"/>
    <n v="505.60369968226553"/>
    <n v="12.08947226226709"/>
    <n v="15.69194205234553"/>
    <n v="1.5039535562514219"/>
    <n v="307.30766490449548"/>
    <n v="1.6300688525942689E-2"/>
  </r>
  <r>
    <x v="1"/>
    <n v="103"/>
    <s v="Garrity"/>
    <s v="RT"/>
    <x v="1"/>
    <n v="345.6"/>
    <n v="15.8"/>
    <n v="490.20411191424819"/>
    <n v="13.7615360552865"/>
    <n v="16.465032795967929"/>
    <n v="1.704298189731879"/>
    <n v="339.12017124542501"/>
    <n v="1.8749504498191578E-2"/>
  </r>
  <r>
    <x v="1"/>
    <n v="104"/>
    <s v="Lovelace"/>
    <s v="TE"/>
    <x v="0"/>
    <n v="240.2"/>
    <n v="20.100000000000001"/>
    <n v="402.9233462641003"/>
    <n v="17.840791403510519"/>
    <n v="244.98865702541261"/>
    <n v="1.8328919074455781"/>
    <n v="235.60105942213059"/>
    <n v="1.9146297160155701E-2"/>
  </r>
  <r>
    <x v="1"/>
    <n v="105"/>
    <s v="Kensington"/>
    <s v="LT"/>
    <x v="1"/>
    <n v="330.1"/>
    <n v="16.100000000000001"/>
    <n v="548.0784896244528"/>
    <n v="12.563746635755351"/>
    <n v="18.85092905076905"/>
    <n v="1.9359720296731511"/>
    <n v="323.6112923020786"/>
    <n v="1.9656793995520831E-2"/>
  </r>
  <r>
    <x v="1"/>
    <n v="106"/>
    <s v="Carter"/>
    <s v="WR"/>
    <x v="2"/>
    <n v="190.1"/>
    <n v="22.6"/>
    <n v="351.49853232041102"/>
    <n v="20.448422379336861"/>
    <n v="390.68752008703763"/>
    <n v="1.2691049971920561"/>
    <n v="187.58870050533511"/>
    <n v="1.3210412912492807E-2"/>
  </r>
  <r>
    <x v="1"/>
    <n v="107"/>
    <s v="Russo"/>
    <s v="G"/>
    <x v="1"/>
    <n v="320.39999999999998"/>
    <n v="16.399999999999999"/>
    <n v="547.7978956157724"/>
    <n v="12.9652027851385"/>
    <n v="2.8899341630669668"/>
    <n v="1.509696159252105"/>
    <n v="315.16897229039319"/>
    <n v="1.6326553400770265E-2"/>
  </r>
  <r>
    <x v="1"/>
    <n v="108"/>
    <s v="Blackwood"/>
    <s v="G"/>
    <x v="1"/>
    <n v="318.3"/>
    <n v="17.100000000000001"/>
    <n v="456.41094961231522"/>
    <n v="12.038328817243601"/>
    <n v="13.34674033635539"/>
    <n v="1.6275375445640821"/>
    <n v="312.82443060828621"/>
    <n v="1.7202542858038971E-2"/>
  </r>
  <r>
    <x v="1"/>
    <n v="109"/>
    <s v="Sinclair"/>
    <s v="WR"/>
    <x v="2"/>
    <n v="196.4"/>
    <n v="22.2"/>
    <n v="383.23873029523043"/>
    <n v="20.446896592491441"/>
    <n v="482.89769976740132"/>
    <n v="0.72556332819559433"/>
    <n v="194.57789587673659"/>
    <n v="9.2775159025632117E-3"/>
  </r>
  <r>
    <x v="1"/>
    <n v="110"/>
    <s v="Delaney"/>
    <s v="RB"/>
    <x v="2"/>
    <n v="215.4"/>
    <n v="21"/>
    <n v="423.7587285013322"/>
    <n v="18.102489818253421"/>
    <n v="345.81506894104041"/>
    <n v="1.433841976440742"/>
    <n v="211.91723975065241"/>
    <n v="1.616880338601482E-2"/>
  </r>
  <r>
    <x v="1"/>
    <n v="111"/>
    <s v="Patrick"/>
    <s v="FB"/>
    <x v="0"/>
    <n v="245.3"/>
    <n v="18.2"/>
    <n v="434.16608696299153"/>
    <n v="16.028817085384659"/>
    <n v="159.5859281696244"/>
    <n v="1.369754171585581"/>
    <n v="241.64410227961531"/>
    <n v="1.4903781982815738E-2"/>
  </r>
  <r>
    <x v="1"/>
    <n v="112"/>
    <s v="Sterling"/>
    <s v="RB"/>
    <x v="2"/>
    <n v="205.2"/>
    <n v="21.8"/>
    <n v="382.4311813524273"/>
    <n v="19.474851250024219"/>
    <n v="406.84823909269738"/>
    <n v="0.85815498974640392"/>
    <n v="203.2407822710199"/>
    <n v="9.5478446831388543E-3"/>
  </r>
  <r>
    <x v="1"/>
    <n v="113"/>
    <s v="Morin"/>
    <s v="G"/>
    <x v="1"/>
    <n v="317.10000000000002"/>
    <n v="16.899999999999999"/>
    <n v="529.136833545527"/>
    <n v="14.838966820956291"/>
    <n v="8.8090842437970789"/>
    <n v="1.9015761585736051"/>
    <n v="310.97200357732169"/>
    <n v="1.9325122745753189E-2"/>
  </r>
  <r>
    <x v="1"/>
    <n v="114"/>
    <s v="Hawthorne"/>
    <s v="C"/>
    <x v="1"/>
    <n v="309.10000000000002"/>
    <n v="16.8"/>
    <n v="535.72584240346157"/>
    <n v="14.57872161299097"/>
    <n v="10.9372359382439"/>
    <n v="1.8573467869646001"/>
    <n v="303.26079842827937"/>
    <n v="1.8890978879717406E-2"/>
  </r>
  <r>
    <x v="1"/>
    <n v="115"/>
    <s v="Barrett"/>
    <s v="QB"/>
    <x v="0"/>
    <n v="225.1"/>
    <n v="18.600000000000001"/>
    <n v="471.60480974981442"/>
    <n v="17.02250820737946"/>
    <n v="206.304271673421"/>
    <n v="1.3012166910885909"/>
    <n v="222.07226244505071"/>
    <n v="1.3450633296087441E-2"/>
  </r>
  <r>
    <x v="1"/>
    <n v="116"/>
    <s v="Nguyen"/>
    <s v="TE"/>
    <x v="0"/>
    <n v="252.1"/>
    <n v="18.8"/>
    <n v="478.71882196235498"/>
    <n v="16.746479777389059"/>
    <n v="148.74516266254841"/>
    <n v="1.716491658683575"/>
    <n v="247.6744410201174"/>
    <n v="1.755477580278697E-2"/>
  </r>
  <r>
    <x v="1"/>
    <n v="117"/>
    <s v="Cross"/>
    <s v="RT"/>
    <x v="1"/>
    <n v="320.89999999999998"/>
    <n v="16"/>
    <n v="453.00044733736308"/>
    <n v="13.26050369153918"/>
    <n v="5.3566995346188051"/>
    <n v="2.0795919625728052"/>
    <n v="313.34530571976711"/>
    <n v="2.3542207168067517E-2"/>
  </r>
  <r>
    <x v="1"/>
    <n v="118"/>
    <s v="Valentine"/>
    <s v="G"/>
    <x v="1"/>
    <n v="321.8"/>
    <n v="17"/>
    <n v="473.12361273205602"/>
    <n v="13.17442293320406"/>
    <n v="4.0982826639624577"/>
    <n v="1.7036382696926311"/>
    <n v="315.53132115428667"/>
    <n v="1.9480046133354068E-2"/>
  </r>
  <r>
    <x v="1"/>
    <n v="119"/>
    <s v="Winslow"/>
    <s v="LT"/>
    <x v="1"/>
    <n v="325.5"/>
    <n v="16.2"/>
    <n v="463.4054295291819"/>
    <n v="14.819511430492391"/>
    <n v="3.9362506468432978"/>
    <n v="1.721398802458409"/>
    <n v="319.4054538920102"/>
    <n v="1.872364395695791E-2"/>
  </r>
  <r>
    <x v="1"/>
    <n v="120"/>
    <s v="Parker"/>
    <s v="WR"/>
    <x v="2"/>
    <n v="202.3"/>
    <n v="22"/>
    <n v="365.51472358987871"/>
    <n v="19.950486056954119"/>
    <n v="424.75382057685761"/>
    <n v="1.2687958678414319"/>
    <n v="199.43703234696031"/>
    <n v="1.4152089238950585E-2"/>
  </r>
  <r>
    <x v="2"/>
    <n v="101"/>
    <s v="Vance"/>
    <s v="QB"/>
    <x v="0"/>
    <n v="217.3"/>
    <n v="19.399999999999999"/>
    <n v="480.85535490211112"/>
    <n v="16.7459435253209"/>
    <n v="234.8301036074667"/>
    <n v="1.55888242383378"/>
    <n v="213.61722514028071"/>
    <n v="1.6947882465344233E-2"/>
  </r>
  <r>
    <x v="2"/>
    <n v="102"/>
    <s v="Mendoza"/>
    <s v="C"/>
    <x v="1"/>
    <n v="312.10000000000002"/>
    <n v="17.8"/>
    <n v="486.22323492774132"/>
    <n v="13.665236373755651"/>
    <n v="19.956631592306781"/>
    <n v="1.858928391726089"/>
    <n v="306.20014341781462"/>
    <n v="1.8903737847438023E-2"/>
  </r>
  <r>
    <x v="2"/>
    <n v="103"/>
    <s v="Garrity"/>
    <s v="RT"/>
    <x v="1"/>
    <n v="345.8"/>
    <n v="15.8"/>
    <n v="477.96807157440708"/>
    <n v="13.3453887650009"/>
    <n v="0.36155591619846378"/>
    <n v="1.843076953449776"/>
    <n v="338.6413845105983"/>
    <n v="2.0701606389247285E-2"/>
  </r>
  <r>
    <x v="2"/>
    <n v="104"/>
    <s v="Lovelace"/>
    <s v="TE"/>
    <x v="0"/>
    <n v="240.1"/>
    <n v="20.100000000000001"/>
    <n v="496.22597958765721"/>
    <n v="18.96988110233945"/>
    <n v="159.66472290818041"/>
    <n v="1.888624059303087"/>
    <n v="235.4673022576726"/>
    <n v="1.9294867731476029E-2"/>
  </r>
  <r>
    <x v="2"/>
    <n v="105"/>
    <s v="Kensington"/>
    <s v="LT"/>
    <x v="1"/>
    <n v="330.2"/>
    <n v="16.100000000000001"/>
    <n v="510.191256073278"/>
    <n v="14.607048090541859"/>
    <n v="9.0807263070348689"/>
    <n v="1.590713184044098"/>
    <n v="324.75064649265448"/>
    <n v="1.6503190512857379E-2"/>
  </r>
  <r>
    <x v="2"/>
    <n v="106"/>
    <s v="Carter"/>
    <s v="WR"/>
    <x v="2"/>
    <n v="190.1"/>
    <n v="22.6"/>
    <n v="408.41092948540228"/>
    <n v="19.77477532894784"/>
    <n v="416.91030757642932"/>
    <n v="1.396991609382205"/>
    <n v="187.3457159421738"/>
    <n v="1.4488606301032075E-2"/>
  </r>
  <r>
    <x v="2"/>
    <n v="107"/>
    <s v="Russo"/>
    <s v="G"/>
    <x v="1"/>
    <n v="320.10000000000002"/>
    <n v="16.399999999999999"/>
    <n v="463.67658519539151"/>
    <n v="12.81481907373794"/>
    <n v="3.7636189230682748"/>
    <n v="2.1560339806576398"/>
    <n v="313.10069126189552"/>
    <n v="2.1866006679489229E-2"/>
  </r>
  <r>
    <x v="2"/>
    <n v="108"/>
    <s v="Blackwood"/>
    <s v="G"/>
    <x v="1"/>
    <n v="318.8"/>
    <n v="17.100000000000001"/>
    <n v="503.42475232653499"/>
    <n v="13.38029271181764"/>
    <n v="15.810122774799799"/>
    <n v="1.569147675566585"/>
    <n v="313.01011039169828"/>
    <n v="1.8161510691034298E-2"/>
  </r>
  <r>
    <x v="2"/>
    <n v="109"/>
    <s v="Sinclair"/>
    <s v="WR"/>
    <x v="2"/>
    <n v="196.6"/>
    <n v="22.2"/>
    <n v="429.45862076851432"/>
    <n v="19.64544280883581"/>
    <n v="451.9607823062139"/>
    <n v="0.95369901526712375"/>
    <n v="194.13074993007641"/>
    <n v="1.2559766378044707E-2"/>
  </r>
  <r>
    <x v="2"/>
    <n v="110"/>
    <s v="Delaney"/>
    <s v="RB"/>
    <x v="2"/>
    <n v="215.4"/>
    <n v="21"/>
    <n v="438.29618075130441"/>
    <n v="19.328121204362681"/>
    <n v="426.49345916327752"/>
    <n v="0.73894189613364736"/>
    <n v="213.41127492331259"/>
    <n v="9.2327069484095456E-3"/>
  </r>
  <r>
    <x v="2"/>
    <n v="111"/>
    <s v="Patrick"/>
    <s v="FB"/>
    <x v="0"/>
    <n v="245.8"/>
    <n v="18.2"/>
    <n v="495.1986468871695"/>
    <n v="17.072474173000899"/>
    <n v="233.88530603812529"/>
    <n v="1.309897803051292"/>
    <n v="241.79075038252429"/>
    <n v="1.6311023667517157E-2"/>
  </r>
  <r>
    <x v="2"/>
    <n v="112"/>
    <s v="Sterling"/>
    <s v="RB"/>
    <x v="2"/>
    <n v="205.1"/>
    <n v="21.8"/>
    <n v="422.41651407054661"/>
    <n v="19.459935571461049"/>
    <n v="303.35232398224917"/>
    <n v="0.7154098726377186"/>
    <n v="203.53340976109271"/>
    <n v="7.6381776641018103E-3"/>
  </r>
  <r>
    <x v="2"/>
    <n v="113"/>
    <s v="Morin"/>
    <s v="G"/>
    <x v="1"/>
    <n v="317.2"/>
    <n v="16.899999999999999"/>
    <n v="520.97750281615504"/>
    <n v="12.95959503675013"/>
    <n v="11.20161792589259"/>
    <n v="1.673634361584929"/>
    <n v="311.6945790737758"/>
    <n v="1.7356308090240195E-2"/>
  </r>
  <r>
    <x v="2"/>
    <n v="114"/>
    <s v="Hawthorne"/>
    <s v="C"/>
    <x v="1"/>
    <n v="309.5"/>
    <n v="16.8"/>
    <n v="528.51802057964801"/>
    <n v="12.01813371154541"/>
    <n v="6.7404022987655949"/>
    <n v="1.8120507608083281"/>
    <n v="303.40076314910232"/>
    <n v="1.9706742652335001E-2"/>
  </r>
  <r>
    <x v="2"/>
    <n v="115"/>
    <s v="Barrett"/>
    <s v="QB"/>
    <x v="0"/>
    <n v="225.4"/>
    <n v="18.600000000000001"/>
    <n v="458.63663816026178"/>
    <n v="17.294133071495839"/>
    <n v="194.10971996979231"/>
    <n v="1.6447813650034639"/>
    <n v="221.29924192874219"/>
    <n v="1.8193247876032895E-2"/>
  </r>
  <r>
    <x v="2"/>
    <n v="116"/>
    <s v="Nguyen"/>
    <s v="TE"/>
    <x v="0"/>
    <n v="252.4"/>
    <n v="18.8"/>
    <n v="410.71141647436099"/>
    <n v="17.29675313401945"/>
    <n v="203.85797012067229"/>
    <n v="1.0967883109564129"/>
    <n v="249.23609345638991"/>
    <n v="1.2535287415253947E-2"/>
  </r>
  <r>
    <x v="2"/>
    <n v="117"/>
    <s v="Cross"/>
    <s v="RT"/>
    <x v="1"/>
    <n v="320.2"/>
    <n v="16"/>
    <n v="483.84232369667887"/>
    <n v="13.40262014240103"/>
    <n v="10.612931989648979"/>
    <n v="2.4066634389323101"/>
    <n v="312.2986769954166"/>
    <n v="2.4676211756974983E-2"/>
  </r>
  <r>
    <x v="2"/>
    <n v="118"/>
    <s v="Valentine"/>
    <s v="G"/>
    <x v="1"/>
    <n v="321.89999999999998"/>
    <n v="17"/>
    <n v="482.31531494571169"/>
    <n v="12.24155825528767"/>
    <n v="1.0477201229044319"/>
    <n v="1.7711981691329859"/>
    <n v="315.31445387708311"/>
    <n v="2.0458360120897381E-2"/>
  </r>
  <r>
    <x v="2"/>
    <n v="119"/>
    <s v="Winslow"/>
    <s v="LT"/>
    <x v="1"/>
    <n v="325.10000000000002"/>
    <n v="16.2"/>
    <n v="486.53031149098467"/>
    <n v="14.892941175564619"/>
    <n v="18.016670006302451"/>
    <n v="1.6920902618481199"/>
    <n v="319.50070664899363"/>
    <n v="1.7223295450650246E-2"/>
  </r>
  <r>
    <x v="2"/>
    <n v="120"/>
    <s v="Parker"/>
    <s v="WR"/>
    <x v="2"/>
    <n v="202.1"/>
    <n v="22"/>
    <n v="396.68654812562158"/>
    <n v="19.891315587727931"/>
    <n v="395.19837056628222"/>
    <n v="0.81021196314724064"/>
    <n v="200.3633718344426"/>
    <n v="8.5929152179979786E-3"/>
  </r>
  <r>
    <x v="3"/>
    <n v="101"/>
    <s v="Vance"/>
    <s v="QB"/>
    <x v="0"/>
    <n v="217.3"/>
    <n v="19.399999999999999"/>
    <n v="430.86021226468921"/>
    <n v="18.37073724351589"/>
    <n v="161.82463605526999"/>
    <n v="1.8796062405337051"/>
    <n v="212.92125445804189"/>
    <n v="2.0150692783976645E-2"/>
  </r>
  <r>
    <x v="3"/>
    <n v="102"/>
    <s v="Mendoza"/>
    <s v="C"/>
    <x v="1"/>
    <n v="312.3"/>
    <n v="17.8"/>
    <n v="530.03360175270132"/>
    <n v="12.14765010884871"/>
    <n v="1.661304172928977"/>
    <n v="1.9851639162681349"/>
    <n v="305.80628858124339"/>
    <n v="2.0793184177895031E-2"/>
  </r>
  <r>
    <x v="3"/>
    <n v="103"/>
    <s v="Garrity"/>
    <s v="RT"/>
    <x v="1"/>
    <n v="345.8"/>
    <n v="15.8"/>
    <n v="529.30917713801307"/>
    <n v="13.4579319371556"/>
    <n v="1.594107721266798"/>
    <n v="1.8021574800758351"/>
    <n v="338.78255669373829"/>
    <n v="2.029335831770308E-2"/>
  </r>
  <r>
    <x v="3"/>
    <n v="104"/>
    <s v="Lovelace"/>
    <s v="TE"/>
    <x v="0"/>
    <n v="240.7"/>
    <n v="20.100000000000001"/>
    <n v="435.69101579436472"/>
    <n v="17.451889022867061"/>
    <n v="218.74395814980531"/>
    <n v="1.9999912725800759"/>
    <n v="235.20002094580781"/>
    <n v="2.2849933752356381E-2"/>
  </r>
  <r>
    <x v="3"/>
    <n v="105"/>
    <s v="Kensington"/>
    <s v="LT"/>
    <x v="1"/>
    <n v="330.7"/>
    <n v="16.100000000000001"/>
    <n v="463.30206411172509"/>
    <n v="14.06830553069948"/>
    <n v="1.6749693269993471"/>
    <n v="2.2362954449726158"/>
    <n v="322.62022503159039"/>
    <n v="2.4432340394344103E-2"/>
  </r>
  <r>
    <x v="3"/>
    <n v="106"/>
    <s v="Carter"/>
    <s v="WR"/>
    <x v="2"/>
    <n v="190.6"/>
    <n v="22.6"/>
    <n v="421.63841631434582"/>
    <n v="20.082688066213219"/>
    <n v="370.73983932013692"/>
    <n v="0.75255932901293565"/>
    <n v="188.57013727487541"/>
    <n v="1.0649856899919137E-2"/>
  </r>
  <r>
    <x v="3"/>
    <n v="107"/>
    <s v="Russo"/>
    <s v="G"/>
    <x v="1"/>
    <n v="320.10000000000002"/>
    <n v="16.399999999999999"/>
    <n v="496.01600066974908"/>
    <n v="14.281395423965421"/>
    <n v="18.77757820306007"/>
    <n v="1.683046641047127"/>
    <n v="314.61425074864923"/>
    <n v="1.713761090706278E-2"/>
  </r>
  <r>
    <x v="3"/>
    <n v="108"/>
    <s v="Blackwood"/>
    <s v="G"/>
    <x v="1"/>
    <n v="318.2"/>
    <n v="17.100000000000001"/>
    <n v="518.9965900447196"/>
    <n v="14.648730898512831"/>
    <n v="18.545729402557669"/>
    <n v="1.9657593299953151"/>
    <n v="311.74888533061488"/>
    <n v="2.0273773316735091E-2"/>
  </r>
  <r>
    <x v="3"/>
    <n v="109"/>
    <s v="Sinclair"/>
    <s v="WR"/>
    <x v="2"/>
    <n v="196.3"/>
    <n v="22.2"/>
    <n v="363.82312899212673"/>
    <n v="18.93786624350891"/>
    <n v="463.3027131103064"/>
    <n v="1.0272746696151951"/>
    <n v="193.98654164755419"/>
    <n v="1.1785320185663885E-2"/>
  </r>
  <r>
    <x v="3"/>
    <n v="110"/>
    <s v="Delaney"/>
    <s v="RB"/>
    <x v="2"/>
    <n v="215.3"/>
    <n v="21"/>
    <n v="359.41170721997469"/>
    <n v="19.360344417967191"/>
    <n v="364.83623493276082"/>
    <n v="0.88872726786126366"/>
    <n v="213.08923637409831"/>
    <n v="1.0268293664197424E-2"/>
  </r>
  <r>
    <x v="3"/>
    <n v="111"/>
    <s v="Patrick"/>
    <s v="FB"/>
    <x v="0"/>
    <n v="245.7"/>
    <n v="18.2"/>
    <n v="482.45392954168187"/>
    <n v="17.209630488133168"/>
    <n v="184.47365072117731"/>
    <n v="1.6621324147054259"/>
    <n v="240.92777558397171"/>
    <n v="1.9422972796207895E-2"/>
  </r>
  <r>
    <x v="3"/>
    <n v="112"/>
    <s v="Sterling"/>
    <s v="RB"/>
    <x v="2"/>
    <n v="205.7"/>
    <n v="21.8"/>
    <n v="353.4142393739159"/>
    <n v="20.402230705483898"/>
    <n v="495.13047883794337"/>
    <n v="0.7367046730994331"/>
    <n v="203.4897554201462"/>
    <n v="1.0744990665307695E-2"/>
  </r>
  <r>
    <x v="3"/>
    <n v="113"/>
    <s v="Morin"/>
    <s v="G"/>
    <x v="1"/>
    <n v="317.7"/>
    <n v="16.899999999999999"/>
    <n v="505.60214026531861"/>
    <n v="14.615829691829401"/>
    <n v="19.537961051172871"/>
    <n v="2.3313032750311291"/>
    <n v="309.60976861815129"/>
    <n v="2.5465002775727719E-2"/>
  </r>
  <r>
    <x v="3"/>
    <n v="114"/>
    <s v="Hawthorne"/>
    <s v="C"/>
    <x v="1"/>
    <n v="309.3"/>
    <n v="16.8"/>
    <n v="454.64672370993748"/>
    <n v="14.575659445718619"/>
    <n v="14.93380498260221"/>
    <n v="2.4825623498930329"/>
    <n v="301.32888233883051"/>
    <n v="2.5771476434430975E-2"/>
  </r>
  <r>
    <x v="3"/>
    <n v="115"/>
    <s v="Barrett"/>
    <s v="QB"/>
    <x v="0"/>
    <n v="225.4"/>
    <n v="18.600000000000001"/>
    <n v="494.5276430830437"/>
    <n v="17.141144213048658"/>
    <n v="226.83848465805079"/>
    <n v="1.361811546835195"/>
    <n v="221.93592401962081"/>
    <n v="1.5368571341522592E-2"/>
  </r>
  <r>
    <x v="3"/>
    <n v="116"/>
    <s v="Nguyen"/>
    <s v="TE"/>
    <x v="0"/>
    <n v="252.9"/>
    <n v="18.8"/>
    <n v="473.4404720384199"/>
    <n v="16.208217932905679"/>
    <n v="141.6964199211377"/>
    <n v="1.139611787399031"/>
    <n v="249.12817829575451"/>
    <n v="1.491428115557729E-2"/>
  </r>
  <r>
    <x v="3"/>
    <n v="117"/>
    <s v="Cross"/>
    <s v="RT"/>
    <x v="1"/>
    <n v="320.7"/>
    <n v="16"/>
    <n v="503.184780979903"/>
    <n v="13.707975925195489"/>
    <n v="14.32398673735074"/>
    <n v="2.4563031846399568"/>
    <n v="312.13982980915222"/>
    <n v="2.6692142784059156E-2"/>
  </r>
  <r>
    <x v="3"/>
    <n v="118"/>
    <s v="Valentine"/>
    <s v="G"/>
    <x v="1"/>
    <n v="321.2"/>
    <n v="17"/>
    <n v="497.37938451376078"/>
    <n v="14.98830757596944"/>
    <n v="18.20948566525756"/>
    <n v="2.0699894484287751"/>
    <n v="314.35533387054357"/>
    <n v="2.1309670390586594E-2"/>
  </r>
  <r>
    <x v="3"/>
    <n v="119"/>
    <s v="Winslow"/>
    <s v="LT"/>
    <x v="1"/>
    <n v="325.5"/>
    <n v="16.2"/>
    <n v="461.42711276195871"/>
    <n v="14.12549615120286"/>
    <n v="11.81358030585524"/>
    <n v="2.1533624995477361"/>
    <n v="318.00157187646982"/>
    <n v="2.303664554079931E-2"/>
  </r>
  <r>
    <x v="3"/>
    <n v="120"/>
    <s v="Parker"/>
    <s v="WR"/>
    <x v="2"/>
    <n v="202.6"/>
    <n v="22"/>
    <n v="356.73117727281289"/>
    <n v="19.961502325665961"/>
    <n v="365.85744357222751"/>
    <n v="1.1709193988515489"/>
    <n v="199.63474281431991"/>
    <n v="1.463601769832224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391B3-FB00-40AA-AB13-442C87BA4E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13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numFmtId="2" showAll="0"/>
    <pivotField numFmtId="165" showAll="0"/>
    <pivotField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layer_load" fld="7" subtotal="average" baseField="4" baseItem="0" numFmtId="2"/>
  </dataFields>
  <chartFormats count="16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7AD81-9446-4CCC-A4F4-4113428FCD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3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numFmtId="2" showAll="0"/>
    <pivotField numFmtId="165" showAll="0"/>
    <pivotField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high_speed_running_yards" fld="9" subtotal="average" baseField="4" baseItem="0" numFmtId="2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08457-811D-49DF-939E-4251AD3899F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3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165" showAll="0"/>
    <pivotField dataField="1"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%_body_mass_loss" fld="12" subtotal="average" baseField="4" baseItem="0" numFmtId="164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CB1FD-B6E7-490B-A39B-A717DC2339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D8" firstHeaderRow="0" firstDataRow="1" firstDataCol="1"/>
  <pivotFields count="13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numFmtId="2" showAll="0"/>
    <pivotField numFmtId="165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layer_load" fld="7" subtotal="average" baseField="0" baseItem="0" numFmtId="2"/>
    <dataField name="Average of high_speed_running_yards" fld="9" subtotal="average" baseField="0" baseItem="0" numFmtId="2"/>
    <dataField name="Average of top_speed_mph" fld="8" subtotal="average" baseField="0" baseItem="0" numFmtId="2"/>
  </dataFields>
  <chartFormats count="9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C89EF-06D5-4330-A8C6-98E0099E5C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3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165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%_body_mass_loss" fld="12" subtotal="average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3A1D-6043-4F48-BC23-0B3BD4F22D57}">
  <dimension ref="A1:K36"/>
  <sheetViews>
    <sheetView topLeftCell="A12" zoomScale="70" workbookViewId="0">
      <selection activeCell="J46" sqref="J46"/>
    </sheetView>
  </sheetViews>
  <sheetFormatPr defaultRowHeight="14.4" x14ac:dyDescent="0.3"/>
  <cols>
    <col min="1" max="1" width="85.33203125" bestFit="1" customWidth="1"/>
    <col min="11" max="11" width="49.109375" bestFit="1" customWidth="1"/>
  </cols>
  <sheetData>
    <row r="1" spans="1:1" ht="28.8" x14ac:dyDescent="0.55000000000000004">
      <c r="A1" s="7" t="s">
        <v>51</v>
      </c>
    </row>
    <row r="2" spans="1:1" x14ac:dyDescent="0.3">
      <c r="A2" t="s">
        <v>52</v>
      </c>
    </row>
    <row r="36" spans="11:11" x14ac:dyDescent="0.3">
      <c r="K36" s="8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85CC-9D93-4DCD-BD18-3BEEDCE417B8}">
  <dimension ref="A3:B7"/>
  <sheetViews>
    <sheetView workbookViewId="0">
      <selection activeCell="H4" sqref="H4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4" t="s">
        <v>45</v>
      </c>
      <c r="B3" t="s">
        <v>47</v>
      </c>
    </row>
    <row r="4" spans="1:2" x14ac:dyDescent="0.3">
      <c r="A4" s="5" t="s">
        <v>14</v>
      </c>
      <c r="B4" s="2">
        <v>455.32557117884261</v>
      </c>
    </row>
    <row r="5" spans="1:2" x14ac:dyDescent="0.3">
      <c r="A5" s="5" t="s">
        <v>17</v>
      </c>
      <c r="B5" s="2">
        <v>499.16215774176999</v>
      </c>
    </row>
    <row r="6" spans="1:2" x14ac:dyDescent="0.3">
      <c r="A6" s="5" t="s">
        <v>26</v>
      </c>
      <c r="B6" s="2">
        <v>389.53692115280165</v>
      </c>
    </row>
    <row r="7" spans="1:2" x14ac:dyDescent="0.3">
      <c r="A7" s="5" t="s">
        <v>46</v>
      </c>
      <c r="B7" s="2">
        <v>460.79670195379606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5456-2573-4CB2-9536-773EB7EE1A01}">
  <dimension ref="A3:B7"/>
  <sheetViews>
    <sheetView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34" bestFit="1" customWidth="1"/>
  </cols>
  <sheetData>
    <row r="3" spans="1:2" x14ac:dyDescent="0.3">
      <c r="A3" s="4" t="s">
        <v>45</v>
      </c>
      <c r="B3" t="s">
        <v>48</v>
      </c>
    </row>
    <row r="4" spans="1:2" x14ac:dyDescent="0.3">
      <c r="A4" s="5" t="s">
        <v>14</v>
      </c>
      <c r="B4" s="2">
        <v>184.02848592544046</v>
      </c>
    </row>
    <row r="5" spans="1:2" x14ac:dyDescent="0.3">
      <c r="A5" s="5" t="s">
        <v>17</v>
      </c>
      <c r="B5" s="2">
        <v>10.577809180480877</v>
      </c>
    </row>
    <row r="6" spans="1:2" x14ac:dyDescent="0.3">
      <c r="A6" s="5" t="s">
        <v>26</v>
      </c>
      <c r="B6" s="2">
        <v>414.08826094629569</v>
      </c>
    </row>
    <row r="7" spans="1:2" x14ac:dyDescent="0.3">
      <c r="A7" s="5" t="s">
        <v>46</v>
      </c>
      <c r="B7" s="2">
        <v>154.81809130817447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C8CD-63DD-4DDB-AC3C-A4ACF662192E}">
  <dimension ref="A3:B7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27.109375" bestFit="1" customWidth="1"/>
  </cols>
  <sheetData>
    <row r="3" spans="1:2" x14ac:dyDescent="0.3">
      <c r="A3" s="4" t="s">
        <v>45</v>
      </c>
      <c r="B3" t="s">
        <v>49</v>
      </c>
    </row>
    <row r="4" spans="1:2" x14ac:dyDescent="0.3">
      <c r="A4" s="5" t="s">
        <v>14</v>
      </c>
      <c r="B4" s="6">
        <v>1.6792843817442591E-2</v>
      </c>
    </row>
    <row r="5" spans="1:2" x14ac:dyDescent="0.3">
      <c r="A5" s="5" t="s">
        <v>17</v>
      </c>
      <c r="B5" s="6">
        <v>2.0963097386205675E-2</v>
      </c>
    </row>
    <row r="6" spans="1:2" x14ac:dyDescent="0.3">
      <c r="A6" s="5" t="s">
        <v>26</v>
      </c>
      <c r="B6" s="6">
        <v>1.1282645304879876E-2</v>
      </c>
    </row>
    <row r="7" spans="1:2" x14ac:dyDescent="0.3">
      <c r="A7" s="5" t="s">
        <v>46</v>
      </c>
      <c r="B7" s="6">
        <v>1.7500420973683459E-2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B3AC-2B0F-4A94-987F-AC7ACA3C5936}">
  <dimension ref="A3:D8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20.6640625" bestFit="1" customWidth="1"/>
    <col min="3" max="3" width="34" bestFit="1" customWidth="1"/>
    <col min="4" max="5" width="24.6640625" bestFit="1" customWidth="1"/>
  </cols>
  <sheetData>
    <row r="3" spans="1:4" x14ac:dyDescent="0.3">
      <c r="A3" s="4" t="s">
        <v>45</v>
      </c>
      <c r="B3" t="s">
        <v>47</v>
      </c>
      <c r="C3" t="s">
        <v>48</v>
      </c>
      <c r="D3" t="s">
        <v>50</v>
      </c>
    </row>
    <row r="4" spans="1:4" x14ac:dyDescent="0.3">
      <c r="A4" s="5">
        <v>1</v>
      </c>
      <c r="B4" s="2">
        <v>461.59865086266183</v>
      </c>
      <c r="C4" s="2">
        <v>154.76573098941904</v>
      </c>
      <c r="D4" s="2">
        <v>15.984678118683155</v>
      </c>
    </row>
    <row r="5" spans="1:4" x14ac:dyDescent="0.3">
      <c r="A5" s="5">
        <v>2</v>
      </c>
      <c r="B5" s="2">
        <v>455.96547091839039</v>
      </c>
      <c r="C5" s="2">
        <v>152.93806269610485</v>
      </c>
      <c r="D5" s="2">
        <v>15.839020473560094</v>
      </c>
    </row>
    <row r="6" spans="1:4" x14ac:dyDescent="0.3">
      <c r="A6" s="5">
        <v>3</v>
      </c>
      <c r="B6" s="2">
        <v>469.028210141974</v>
      </c>
      <c r="C6" s="2">
        <v>155.84275320478059</v>
      </c>
      <c r="D6" s="2">
        <v>15.940320442195732</v>
      </c>
    </row>
    <row r="7" spans="1:4" x14ac:dyDescent="0.3">
      <c r="A7" s="5">
        <v>4</v>
      </c>
      <c r="B7" s="2">
        <v>456.59447589215813</v>
      </c>
      <c r="C7" s="2">
        <v>155.72581834239341</v>
      </c>
      <c r="D7" s="2">
        <v>16.287176667420376</v>
      </c>
    </row>
    <row r="8" spans="1:4" x14ac:dyDescent="0.3">
      <c r="A8" s="5" t="s">
        <v>46</v>
      </c>
      <c r="B8" s="2">
        <v>460.79670195379606</v>
      </c>
      <c r="C8" s="2">
        <v>154.81809130817447</v>
      </c>
      <c r="D8" s="2">
        <v>16.012798925464843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675B-7C5E-48DC-ACA6-66AC3974A4B6}">
  <dimension ref="A3:B8"/>
  <sheetViews>
    <sheetView workbookViewId="0">
      <selection activeCell="L2" sqref="L2"/>
    </sheetView>
  </sheetViews>
  <sheetFormatPr defaultRowHeight="14.4" x14ac:dyDescent="0.3"/>
  <cols>
    <col min="1" max="1" width="12.5546875" bestFit="1" customWidth="1"/>
    <col min="2" max="2" width="27.109375" bestFit="1" customWidth="1"/>
  </cols>
  <sheetData>
    <row r="3" spans="1:2" x14ac:dyDescent="0.3">
      <c r="A3" s="4" t="s">
        <v>45</v>
      </c>
      <c r="B3" t="s">
        <v>49</v>
      </c>
    </row>
    <row r="4" spans="1:2" x14ac:dyDescent="0.3">
      <c r="A4" s="5">
        <v>1</v>
      </c>
      <c r="B4" s="6">
        <v>1.8208635637336056E-2</v>
      </c>
    </row>
    <row r="5" spans="1:2" x14ac:dyDescent="0.3">
      <c r="A5" s="5">
        <v>2</v>
      </c>
      <c r="B5" s="6">
        <v>1.6425668865459285E-2</v>
      </c>
    </row>
    <row r="6" spans="1:2" x14ac:dyDescent="0.3">
      <c r="A6" s="5">
        <v>3</v>
      </c>
      <c r="B6" s="6">
        <v>1.656757259281872E-2</v>
      </c>
    </row>
    <row r="7" spans="1:2" x14ac:dyDescent="0.3">
      <c r="A7" s="5">
        <v>4</v>
      </c>
      <c r="B7" s="6">
        <v>1.8799806799119755E-2</v>
      </c>
    </row>
    <row r="8" spans="1:2" x14ac:dyDescent="0.3">
      <c r="A8" s="5" t="s">
        <v>46</v>
      </c>
      <c r="B8" s="6">
        <v>1.7500420973683452E-2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F8" sqref="F8"/>
    </sheetView>
  </sheetViews>
  <sheetFormatPr defaultRowHeight="14.4" x14ac:dyDescent="0.3"/>
  <cols>
    <col min="3" max="3" width="10.109375" bestFit="1" customWidth="1"/>
    <col min="5" max="5" width="13.33203125" bestFit="1" customWidth="1"/>
    <col min="6" max="6" width="17.5546875" bestFit="1" customWidth="1"/>
    <col min="7" max="7" width="16.44140625" bestFit="1" customWidth="1"/>
    <col min="8" max="8" width="12.5546875" bestFit="1" customWidth="1"/>
    <col min="10" max="10" width="22.77734375" bestFit="1" customWidth="1"/>
    <col min="12" max="12" width="22.109375" bestFit="1" customWidth="1"/>
    <col min="13" max="13" width="1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44</v>
      </c>
    </row>
    <row r="2" spans="1:13" x14ac:dyDescent="0.3">
      <c r="A2">
        <v>1</v>
      </c>
      <c r="B2">
        <v>101</v>
      </c>
      <c r="C2" t="s">
        <v>12</v>
      </c>
      <c r="D2" t="s">
        <v>13</v>
      </c>
      <c r="E2" t="s">
        <v>14</v>
      </c>
      <c r="F2">
        <v>217.3</v>
      </c>
      <c r="G2">
        <v>19.399999999999999</v>
      </c>
      <c r="H2" s="2">
        <v>486.13724832717679</v>
      </c>
      <c r="I2" s="2">
        <v>16.607498917245621</v>
      </c>
      <c r="J2" s="2">
        <v>173.8075383673897</v>
      </c>
      <c r="K2" s="2">
        <v>1.2608981866591951</v>
      </c>
      <c r="L2" s="3">
        <v>214.26385093494949</v>
      </c>
      <c r="M2" s="1">
        <f>(F2-L2)/F2</f>
        <v>1.397215400391405E-2</v>
      </c>
    </row>
    <row r="3" spans="1:13" x14ac:dyDescent="0.3">
      <c r="A3">
        <v>1</v>
      </c>
      <c r="B3">
        <v>102</v>
      </c>
      <c r="C3" t="s">
        <v>15</v>
      </c>
      <c r="D3" t="s">
        <v>16</v>
      </c>
      <c r="E3" t="s">
        <v>17</v>
      </c>
      <c r="F3">
        <v>312.2</v>
      </c>
      <c r="G3">
        <v>17.8</v>
      </c>
      <c r="H3" s="2">
        <v>461.70018977262453</v>
      </c>
      <c r="I3" s="2">
        <v>14.429922761083199</v>
      </c>
      <c r="J3" s="2">
        <v>17.689913192851829</v>
      </c>
      <c r="K3" s="2">
        <v>1.934049385087603</v>
      </c>
      <c r="L3" s="3">
        <v>305.9657659185267</v>
      </c>
      <c r="M3" s="1">
        <f t="shared" ref="M3:M66" si="0">(F3-L3)/F3</f>
        <v>1.996871903098427E-2</v>
      </c>
    </row>
    <row r="4" spans="1:13" x14ac:dyDescent="0.3">
      <c r="A4">
        <v>1</v>
      </c>
      <c r="B4">
        <v>103</v>
      </c>
      <c r="C4" t="s">
        <v>18</v>
      </c>
      <c r="D4" t="s">
        <v>19</v>
      </c>
      <c r="E4" t="s">
        <v>17</v>
      </c>
      <c r="F4">
        <v>345.7</v>
      </c>
      <c r="G4">
        <v>15.8</v>
      </c>
      <c r="H4" s="2">
        <v>522.9507475457267</v>
      </c>
      <c r="I4" s="2">
        <v>13.672355496247439</v>
      </c>
      <c r="J4" s="2">
        <v>4.5419978755422097</v>
      </c>
      <c r="K4" s="2">
        <v>2.4002945358137828</v>
      </c>
      <c r="L4" s="3">
        <v>336.71898385144237</v>
      </c>
      <c r="M4" s="1">
        <f t="shared" si="0"/>
        <v>2.5979219405720611E-2</v>
      </c>
    </row>
    <row r="5" spans="1:13" x14ac:dyDescent="0.3">
      <c r="A5">
        <v>1</v>
      </c>
      <c r="B5">
        <v>104</v>
      </c>
      <c r="C5" t="s">
        <v>20</v>
      </c>
      <c r="D5" t="s">
        <v>21</v>
      </c>
      <c r="E5" t="s">
        <v>14</v>
      </c>
      <c r="F5">
        <v>240.6</v>
      </c>
      <c r="G5">
        <v>20.100000000000001</v>
      </c>
      <c r="H5" s="2">
        <v>459.73230621233819</v>
      </c>
      <c r="I5" s="2">
        <v>17.85725005087766</v>
      </c>
      <c r="J5" s="2">
        <v>138.1223157733321</v>
      </c>
      <c r="K5" s="2">
        <v>1.9491449821015949</v>
      </c>
      <c r="L5" s="3">
        <v>235.32205204295619</v>
      </c>
      <c r="M5" s="1">
        <f t="shared" si="0"/>
        <v>2.1936608300265201E-2</v>
      </c>
    </row>
    <row r="6" spans="1:13" x14ac:dyDescent="0.3">
      <c r="A6">
        <v>1</v>
      </c>
      <c r="B6">
        <v>105</v>
      </c>
      <c r="C6" t="s">
        <v>22</v>
      </c>
      <c r="D6" t="s">
        <v>23</v>
      </c>
      <c r="E6" t="s">
        <v>17</v>
      </c>
      <c r="F6">
        <v>330.9</v>
      </c>
      <c r="G6">
        <v>16.100000000000001</v>
      </c>
      <c r="H6" s="2">
        <v>487.49541444206028</v>
      </c>
      <c r="I6" s="2">
        <v>14.38795099862838</v>
      </c>
      <c r="J6" s="2">
        <v>8.0944861171215248</v>
      </c>
      <c r="K6" s="2">
        <v>2.302210286985459</v>
      </c>
      <c r="L6" s="3">
        <v>322.40270605294802</v>
      </c>
      <c r="M6" s="1">
        <f t="shared" si="0"/>
        <v>2.5679341030679839E-2</v>
      </c>
    </row>
    <row r="7" spans="1:13" x14ac:dyDescent="0.3">
      <c r="A7">
        <v>1</v>
      </c>
      <c r="B7">
        <v>106</v>
      </c>
      <c r="C7" t="s">
        <v>24</v>
      </c>
      <c r="D7" t="s">
        <v>25</v>
      </c>
      <c r="E7" t="s">
        <v>26</v>
      </c>
      <c r="F7">
        <v>190.1</v>
      </c>
      <c r="G7">
        <v>22.6</v>
      </c>
      <c r="H7" s="2">
        <v>376.35782023218741</v>
      </c>
      <c r="I7" s="2">
        <v>19.84102754982549</v>
      </c>
      <c r="J7" s="2">
        <v>499.61411527645993</v>
      </c>
      <c r="K7" s="2">
        <v>0.57247330511219074</v>
      </c>
      <c r="L7" s="3">
        <v>188.91230072028691</v>
      </c>
      <c r="M7" s="1">
        <f t="shared" si="0"/>
        <v>6.2477605455712086E-3</v>
      </c>
    </row>
    <row r="8" spans="1:13" x14ac:dyDescent="0.3">
      <c r="A8">
        <v>1</v>
      </c>
      <c r="B8">
        <v>107</v>
      </c>
      <c r="C8" t="s">
        <v>27</v>
      </c>
      <c r="D8" t="s">
        <v>28</v>
      </c>
      <c r="E8" t="s">
        <v>17</v>
      </c>
      <c r="F8">
        <v>320.10000000000002</v>
      </c>
      <c r="G8">
        <v>16.399999999999999</v>
      </c>
      <c r="H8" s="2">
        <v>532.95195438980898</v>
      </c>
      <c r="I8" s="2">
        <v>13.38481365899122</v>
      </c>
      <c r="J8" s="2">
        <v>4.278276871615514</v>
      </c>
      <c r="K8" s="2">
        <v>2.2734088135896919</v>
      </c>
      <c r="L8" s="3">
        <v>312.72509179651303</v>
      </c>
      <c r="M8" s="1">
        <f t="shared" si="0"/>
        <v>2.303938832704466E-2</v>
      </c>
    </row>
    <row r="9" spans="1:13" x14ac:dyDescent="0.3">
      <c r="A9">
        <v>1</v>
      </c>
      <c r="B9">
        <v>108</v>
      </c>
      <c r="C9" t="s">
        <v>29</v>
      </c>
      <c r="D9" t="s">
        <v>28</v>
      </c>
      <c r="E9" t="s">
        <v>17</v>
      </c>
      <c r="F9">
        <v>318.5</v>
      </c>
      <c r="G9">
        <v>17.100000000000001</v>
      </c>
      <c r="H9" s="2">
        <v>543.48904125683191</v>
      </c>
      <c r="I9" s="2">
        <v>13.53005054480408</v>
      </c>
      <c r="J9" s="2">
        <v>3.2884766294193302</v>
      </c>
      <c r="K9" s="2">
        <v>1.8327407672906419</v>
      </c>
      <c r="L9" s="3">
        <v>312.17188436001578</v>
      </c>
      <c r="M9" s="1">
        <f t="shared" si="0"/>
        <v>1.9868494945005397E-2</v>
      </c>
    </row>
    <row r="10" spans="1:13" x14ac:dyDescent="0.3">
      <c r="A10">
        <v>1</v>
      </c>
      <c r="B10">
        <v>109</v>
      </c>
      <c r="C10" t="s">
        <v>30</v>
      </c>
      <c r="D10" t="s">
        <v>25</v>
      </c>
      <c r="E10" t="s">
        <v>26</v>
      </c>
      <c r="F10">
        <v>196.3</v>
      </c>
      <c r="G10">
        <v>22.2</v>
      </c>
      <c r="H10" s="2">
        <v>444.7610782907542</v>
      </c>
      <c r="I10" s="2">
        <v>20.669680976148499</v>
      </c>
      <c r="J10" s="2">
        <v>473.8270234827225</v>
      </c>
      <c r="K10" s="2">
        <v>0.9842222935441054</v>
      </c>
      <c r="L10" s="3">
        <v>194.0709243046536</v>
      </c>
      <c r="M10" s="1">
        <f t="shared" si="0"/>
        <v>1.1355454382814109E-2</v>
      </c>
    </row>
    <row r="11" spans="1:13" x14ac:dyDescent="0.3">
      <c r="A11">
        <v>1</v>
      </c>
      <c r="B11">
        <v>110</v>
      </c>
      <c r="C11" t="s">
        <v>31</v>
      </c>
      <c r="D11" t="s">
        <v>32</v>
      </c>
      <c r="E11" t="s">
        <v>26</v>
      </c>
      <c r="F11">
        <v>215.7</v>
      </c>
      <c r="G11">
        <v>21</v>
      </c>
      <c r="H11" s="2">
        <v>353.39059392466328</v>
      </c>
      <c r="I11" s="2">
        <v>19.81115775745463</v>
      </c>
      <c r="J11" s="2">
        <v>319.49807203958818</v>
      </c>
      <c r="K11" s="2">
        <v>0.86407664820745933</v>
      </c>
      <c r="L11" s="3">
        <v>213.142235206354</v>
      </c>
      <c r="M11" s="1">
        <f t="shared" si="0"/>
        <v>1.1857973081344399E-2</v>
      </c>
    </row>
    <row r="12" spans="1:13" x14ac:dyDescent="0.3">
      <c r="A12">
        <v>1</v>
      </c>
      <c r="B12">
        <v>111</v>
      </c>
      <c r="C12" t="s">
        <v>33</v>
      </c>
      <c r="D12" t="s">
        <v>34</v>
      </c>
      <c r="E12" t="s">
        <v>14</v>
      </c>
      <c r="F12">
        <v>245.4</v>
      </c>
      <c r="G12">
        <v>18.2</v>
      </c>
      <c r="H12" s="2">
        <v>452.76232208146382</v>
      </c>
      <c r="I12" s="2">
        <v>15.771477390752519</v>
      </c>
      <c r="J12" s="2">
        <v>114.813427433801</v>
      </c>
      <c r="K12" s="2">
        <v>1.622637856103667</v>
      </c>
      <c r="L12" s="3">
        <v>241.024537252546</v>
      </c>
      <c r="M12" s="1">
        <f t="shared" si="0"/>
        <v>1.7829921546267353E-2</v>
      </c>
    </row>
    <row r="13" spans="1:13" x14ac:dyDescent="0.3">
      <c r="A13">
        <v>1</v>
      </c>
      <c r="B13">
        <v>112</v>
      </c>
      <c r="C13" t="s">
        <v>35</v>
      </c>
      <c r="D13" t="s">
        <v>32</v>
      </c>
      <c r="E13" t="s">
        <v>26</v>
      </c>
      <c r="F13">
        <v>205.5</v>
      </c>
      <c r="G13">
        <v>21.8</v>
      </c>
      <c r="H13" s="2">
        <v>364.3616681550439</v>
      </c>
      <c r="I13" s="2">
        <v>20.378419345173281</v>
      </c>
      <c r="J13" s="2">
        <v>487.96329482209143</v>
      </c>
      <c r="K13" s="2">
        <v>0.53700640468299632</v>
      </c>
      <c r="L13" s="3">
        <v>203.8991368703999</v>
      </c>
      <c r="M13" s="1">
        <f t="shared" si="0"/>
        <v>7.7900882218982963E-3</v>
      </c>
    </row>
    <row r="14" spans="1:13" x14ac:dyDescent="0.3">
      <c r="A14">
        <v>1</v>
      </c>
      <c r="B14">
        <v>113</v>
      </c>
      <c r="C14" t="s">
        <v>36</v>
      </c>
      <c r="D14" t="s">
        <v>28</v>
      </c>
      <c r="E14" t="s">
        <v>17</v>
      </c>
      <c r="F14">
        <v>317.8</v>
      </c>
      <c r="G14">
        <v>16.899999999999999</v>
      </c>
      <c r="H14" s="2">
        <v>547.22491112615114</v>
      </c>
      <c r="I14" s="2">
        <v>12.627953732548759</v>
      </c>
      <c r="J14" s="2">
        <v>6.9120719513955642</v>
      </c>
      <c r="K14" s="2">
        <v>2.4039846411150472</v>
      </c>
      <c r="L14" s="3">
        <v>309.37936868766531</v>
      </c>
      <c r="M14" s="1">
        <f t="shared" si="0"/>
        <v>2.6496637232016066E-2</v>
      </c>
    </row>
    <row r="15" spans="1:13" x14ac:dyDescent="0.3">
      <c r="A15">
        <v>1</v>
      </c>
      <c r="B15">
        <v>114</v>
      </c>
      <c r="C15" t="s">
        <v>37</v>
      </c>
      <c r="D15" t="s">
        <v>16</v>
      </c>
      <c r="E15" t="s">
        <v>17</v>
      </c>
      <c r="F15">
        <v>309.7</v>
      </c>
      <c r="G15">
        <v>16.8</v>
      </c>
      <c r="H15" s="2">
        <v>475.58665169981822</v>
      </c>
      <c r="I15" s="2">
        <v>14.99465093960168</v>
      </c>
      <c r="J15" s="2">
        <v>15.745215751335429</v>
      </c>
      <c r="K15" s="2">
        <v>1.558612031098394</v>
      </c>
      <c r="L15" s="3">
        <v>304.18388882390599</v>
      </c>
      <c r="M15" s="1">
        <f t="shared" si="0"/>
        <v>1.7811143610248631E-2</v>
      </c>
    </row>
    <row r="16" spans="1:13" x14ac:dyDescent="0.3">
      <c r="A16">
        <v>1</v>
      </c>
      <c r="B16">
        <v>115</v>
      </c>
      <c r="C16" t="s">
        <v>38</v>
      </c>
      <c r="D16" t="s">
        <v>13</v>
      </c>
      <c r="E16" t="s">
        <v>14</v>
      </c>
      <c r="F16">
        <v>225.6</v>
      </c>
      <c r="G16">
        <v>18.600000000000001</v>
      </c>
      <c r="H16" s="2">
        <v>406.49227455929969</v>
      </c>
      <c r="I16" s="2">
        <v>17.467636320811948</v>
      </c>
      <c r="J16" s="2">
        <v>157.65626733076189</v>
      </c>
      <c r="K16" s="2">
        <v>1.0711288511418919</v>
      </c>
      <c r="L16" s="3">
        <v>222.58996008493071</v>
      </c>
      <c r="M16" s="1">
        <f t="shared" si="0"/>
        <v>1.3342375510058888E-2</v>
      </c>
    </row>
    <row r="17" spans="1:13" x14ac:dyDescent="0.3">
      <c r="A17">
        <v>1</v>
      </c>
      <c r="B17">
        <v>116</v>
      </c>
      <c r="C17" t="s">
        <v>39</v>
      </c>
      <c r="D17" t="s">
        <v>21</v>
      </c>
      <c r="E17" t="s">
        <v>14</v>
      </c>
      <c r="F17">
        <v>252.2</v>
      </c>
      <c r="G17">
        <v>18.8</v>
      </c>
      <c r="H17" s="2">
        <v>432.40575335093172</v>
      </c>
      <c r="I17" s="2">
        <v>16.530500974866989</v>
      </c>
      <c r="J17" s="2">
        <v>228.86842342275321</v>
      </c>
      <c r="K17" s="2">
        <v>1.404654477856029</v>
      </c>
      <c r="L17" s="3">
        <v>248.46027071580281</v>
      </c>
      <c r="M17" s="1">
        <f t="shared" si="0"/>
        <v>1.4828426979370269E-2</v>
      </c>
    </row>
    <row r="18" spans="1:13" x14ac:dyDescent="0.3">
      <c r="A18">
        <v>1</v>
      </c>
      <c r="B18">
        <v>117</v>
      </c>
      <c r="C18" t="s">
        <v>40</v>
      </c>
      <c r="D18" t="s">
        <v>19</v>
      </c>
      <c r="E18" t="s">
        <v>17</v>
      </c>
      <c r="F18">
        <v>320.10000000000002</v>
      </c>
      <c r="G18">
        <v>16</v>
      </c>
      <c r="H18" s="2">
        <v>454.32690475467678</v>
      </c>
      <c r="I18" s="2">
        <v>12.52928616340337</v>
      </c>
      <c r="J18" s="2">
        <v>16.11485457228294</v>
      </c>
      <c r="K18" s="2">
        <v>2.254666039370957</v>
      </c>
      <c r="L18" s="3">
        <v>312.78506867401302</v>
      </c>
      <c r="M18" s="1">
        <f t="shared" si="0"/>
        <v>2.2852019137728847E-2</v>
      </c>
    </row>
    <row r="19" spans="1:13" x14ac:dyDescent="0.3">
      <c r="A19">
        <v>1</v>
      </c>
      <c r="B19">
        <v>118</v>
      </c>
      <c r="C19" t="s">
        <v>41</v>
      </c>
      <c r="D19" t="s">
        <v>28</v>
      </c>
      <c r="E19" t="s">
        <v>17</v>
      </c>
      <c r="F19">
        <v>321.2</v>
      </c>
      <c r="G19">
        <v>17</v>
      </c>
      <c r="H19" s="2">
        <v>506.0638819514383</v>
      </c>
      <c r="I19" s="2">
        <v>12.47598914003893</v>
      </c>
      <c r="J19" s="2">
        <v>10.7060250715741</v>
      </c>
      <c r="K19" s="2">
        <v>2.2934096790541609</v>
      </c>
      <c r="L19" s="3">
        <v>313.63815493023623</v>
      </c>
      <c r="M19" s="1">
        <f t="shared" si="0"/>
        <v>2.3542481537247084E-2</v>
      </c>
    </row>
    <row r="20" spans="1:13" x14ac:dyDescent="0.3">
      <c r="A20">
        <v>1</v>
      </c>
      <c r="B20">
        <v>119</v>
      </c>
      <c r="C20" t="s">
        <v>42</v>
      </c>
      <c r="D20" t="s">
        <v>23</v>
      </c>
      <c r="E20" t="s">
        <v>17</v>
      </c>
      <c r="F20">
        <v>325.3</v>
      </c>
      <c r="G20">
        <v>16.2</v>
      </c>
      <c r="H20" s="2">
        <v>528.64435116070092</v>
      </c>
      <c r="I20" s="2">
        <v>13.43318091247532</v>
      </c>
      <c r="J20" s="2">
        <v>17.69441233415251</v>
      </c>
      <c r="K20" s="2">
        <v>2.3425571823774298</v>
      </c>
      <c r="L20" s="3">
        <v>317.38668915727339</v>
      </c>
      <c r="M20" s="1">
        <f t="shared" si="0"/>
        <v>2.4326193798729225E-2</v>
      </c>
    </row>
    <row r="21" spans="1:13" x14ac:dyDescent="0.3">
      <c r="A21">
        <v>1</v>
      </c>
      <c r="B21">
        <v>120</v>
      </c>
      <c r="C21" t="s">
        <v>43</v>
      </c>
      <c r="D21" t="s">
        <v>25</v>
      </c>
      <c r="E21" t="s">
        <v>26</v>
      </c>
      <c r="F21">
        <v>202.3</v>
      </c>
      <c r="G21">
        <v>22</v>
      </c>
      <c r="H21" s="2">
        <v>395.13790401953958</v>
      </c>
      <c r="I21" s="2">
        <v>19.292758742684111</v>
      </c>
      <c r="J21" s="2">
        <v>396.07841147218983</v>
      </c>
      <c r="K21" s="2">
        <v>1.398610664276303</v>
      </c>
      <c r="L21" s="3">
        <v>199.1748064581619</v>
      </c>
      <c r="M21" s="1">
        <f t="shared" si="0"/>
        <v>1.5448312119812728E-2</v>
      </c>
    </row>
    <row r="22" spans="1:13" x14ac:dyDescent="0.3">
      <c r="A22">
        <v>2</v>
      </c>
      <c r="B22">
        <v>101</v>
      </c>
      <c r="C22" t="s">
        <v>12</v>
      </c>
      <c r="D22" t="s">
        <v>13</v>
      </c>
      <c r="E22" t="s">
        <v>14</v>
      </c>
      <c r="F22">
        <v>217.2</v>
      </c>
      <c r="G22">
        <v>19.399999999999999</v>
      </c>
      <c r="H22" s="2">
        <v>422.96714537262221</v>
      </c>
      <c r="I22" s="2">
        <v>16.628253855604221</v>
      </c>
      <c r="J22" s="2">
        <v>147.75275450008701</v>
      </c>
      <c r="K22" s="2">
        <v>1.1993374091341309</v>
      </c>
      <c r="L22" s="3">
        <v>214.39743782217889</v>
      </c>
      <c r="M22" s="1">
        <f t="shared" si="0"/>
        <v>1.2903140781865111E-2</v>
      </c>
    </row>
    <row r="23" spans="1:13" x14ac:dyDescent="0.3">
      <c r="A23">
        <v>2</v>
      </c>
      <c r="B23">
        <v>102</v>
      </c>
      <c r="C23" t="s">
        <v>15</v>
      </c>
      <c r="D23" t="s">
        <v>16</v>
      </c>
      <c r="E23" t="s">
        <v>17</v>
      </c>
      <c r="F23">
        <v>312.39999999999998</v>
      </c>
      <c r="G23">
        <v>17.8</v>
      </c>
      <c r="H23" s="2">
        <v>505.60369968226553</v>
      </c>
      <c r="I23" s="2">
        <v>12.08947226226709</v>
      </c>
      <c r="J23" s="2">
        <v>15.69194205234553</v>
      </c>
      <c r="K23" s="2">
        <v>1.5039535562514219</v>
      </c>
      <c r="L23" s="3">
        <v>307.30766490449548</v>
      </c>
      <c r="M23" s="1">
        <f t="shared" si="0"/>
        <v>1.6300688525942689E-2</v>
      </c>
    </row>
    <row r="24" spans="1:13" x14ac:dyDescent="0.3">
      <c r="A24">
        <v>2</v>
      </c>
      <c r="B24">
        <v>103</v>
      </c>
      <c r="C24" t="s">
        <v>18</v>
      </c>
      <c r="D24" t="s">
        <v>19</v>
      </c>
      <c r="E24" t="s">
        <v>17</v>
      </c>
      <c r="F24">
        <v>345.6</v>
      </c>
      <c r="G24">
        <v>15.8</v>
      </c>
      <c r="H24" s="2">
        <v>490.20411191424819</v>
      </c>
      <c r="I24" s="2">
        <v>13.7615360552865</v>
      </c>
      <c r="J24" s="2">
        <v>16.465032795967929</v>
      </c>
      <c r="K24" s="2">
        <v>1.704298189731879</v>
      </c>
      <c r="L24" s="3">
        <v>339.12017124542501</v>
      </c>
      <c r="M24" s="1">
        <f t="shared" si="0"/>
        <v>1.8749504498191578E-2</v>
      </c>
    </row>
    <row r="25" spans="1:13" x14ac:dyDescent="0.3">
      <c r="A25">
        <v>2</v>
      </c>
      <c r="B25">
        <v>104</v>
      </c>
      <c r="C25" t="s">
        <v>20</v>
      </c>
      <c r="D25" t="s">
        <v>21</v>
      </c>
      <c r="E25" t="s">
        <v>14</v>
      </c>
      <c r="F25">
        <v>240.2</v>
      </c>
      <c r="G25">
        <v>20.100000000000001</v>
      </c>
      <c r="H25" s="2">
        <v>402.9233462641003</v>
      </c>
      <c r="I25" s="2">
        <v>17.840791403510519</v>
      </c>
      <c r="J25" s="2">
        <v>244.98865702541261</v>
      </c>
      <c r="K25" s="2">
        <v>1.8328919074455781</v>
      </c>
      <c r="L25" s="3">
        <v>235.60105942213059</v>
      </c>
      <c r="M25" s="1">
        <f t="shared" si="0"/>
        <v>1.9146297160155701E-2</v>
      </c>
    </row>
    <row r="26" spans="1:13" x14ac:dyDescent="0.3">
      <c r="A26">
        <v>2</v>
      </c>
      <c r="B26">
        <v>105</v>
      </c>
      <c r="C26" t="s">
        <v>22</v>
      </c>
      <c r="D26" t="s">
        <v>23</v>
      </c>
      <c r="E26" t="s">
        <v>17</v>
      </c>
      <c r="F26">
        <v>330.1</v>
      </c>
      <c r="G26">
        <v>16.100000000000001</v>
      </c>
      <c r="H26" s="2">
        <v>548.0784896244528</v>
      </c>
      <c r="I26" s="2">
        <v>12.563746635755351</v>
      </c>
      <c r="J26" s="2">
        <v>18.85092905076905</v>
      </c>
      <c r="K26" s="2">
        <v>1.9359720296731511</v>
      </c>
      <c r="L26" s="3">
        <v>323.6112923020786</v>
      </c>
      <c r="M26" s="1">
        <f t="shared" si="0"/>
        <v>1.9656793995520831E-2</v>
      </c>
    </row>
    <row r="27" spans="1:13" x14ac:dyDescent="0.3">
      <c r="A27">
        <v>2</v>
      </c>
      <c r="B27">
        <v>106</v>
      </c>
      <c r="C27" t="s">
        <v>24</v>
      </c>
      <c r="D27" t="s">
        <v>25</v>
      </c>
      <c r="E27" t="s">
        <v>26</v>
      </c>
      <c r="F27">
        <v>190.1</v>
      </c>
      <c r="G27">
        <v>22.6</v>
      </c>
      <c r="H27" s="2">
        <v>351.49853232041102</v>
      </c>
      <c r="I27" s="2">
        <v>20.448422379336861</v>
      </c>
      <c r="J27" s="2">
        <v>390.68752008703763</v>
      </c>
      <c r="K27" s="2">
        <v>1.2691049971920561</v>
      </c>
      <c r="L27" s="3">
        <v>187.58870050533511</v>
      </c>
      <c r="M27" s="1">
        <f t="shared" si="0"/>
        <v>1.3210412912492807E-2</v>
      </c>
    </row>
    <row r="28" spans="1:13" x14ac:dyDescent="0.3">
      <c r="A28">
        <v>2</v>
      </c>
      <c r="B28">
        <v>107</v>
      </c>
      <c r="C28" t="s">
        <v>27</v>
      </c>
      <c r="D28" t="s">
        <v>28</v>
      </c>
      <c r="E28" t="s">
        <v>17</v>
      </c>
      <c r="F28">
        <v>320.39999999999998</v>
      </c>
      <c r="G28">
        <v>16.399999999999999</v>
      </c>
      <c r="H28" s="2">
        <v>547.7978956157724</v>
      </c>
      <c r="I28" s="2">
        <v>12.9652027851385</v>
      </c>
      <c r="J28" s="2">
        <v>2.8899341630669668</v>
      </c>
      <c r="K28" s="2">
        <v>1.509696159252105</v>
      </c>
      <c r="L28" s="3">
        <v>315.16897229039319</v>
      </c>
      <c r="M28" s="1">
        <f>(F28-L28)/F28</f>
        <v>1.6326553400770265E-2</v>
      </c>
    </row>
    <row r="29" spans="1:13" x14ac:dyDescent="0.3">
      <c r="A29">
        <v>2</v>
      </c>
      <c r="B29">
        <v>108</v>
      </c>
      <c r="C29" t="s">
        <v>29</v>
      </c>
      <c r="D29" t="s">
        <v>28</v>
      </c>
      <c r="E29" t="s">
        <v>17</v>
      </c>
      <c r="F29">
        <v>318.3</v>
      </c>
      <c r="G29">
        <v>17.100000000000001</v>
      </c>
      <c r="H29" s="2">
        <v>456.41094961231522</v>
      </c>
      <c r="I29" s="2">
        <v>12.038328817243601</v>
      </c>
      <c r="J29" s="2">
        <v>13.34674033635539</v>
      </c>
      <c r="K29" s="2">
        <v>1.6275375445640821</v>
      </c>
      <c r="L29" s="3">
        <v>312.82443060828621</v>
      </c>
      <c r="M29" s="1">
        <f t="shared" si="0"/>
        <v>1.7202542858038971E-2</v>
      </c>
    </row>
    <row r="30" spans="1:13" x14ac:dyDescent="0.3">
      <c r="A30">
        <v>2</v>
      </c>
      <c r="B30">
        <v>109</v>
      </c>
      <c r="C30" t="s">
        <v>30</v>
      </c>
      <c r="D30" t="s">
        <v>25</v>
      </c>
      <c r="E30" t="s">
        <v>26</v>
      </c>
      <c r="F30">
        <v>196.4</v>
      </c>
      <c r="G30">
        <v>22.2</v>
      </c>
      <c r="H30" s="2">
        <v>383.23873029523043</v>
      </c>
      <c r="I30" s="2">
        <v>20.446896592491441</v>
      </c>
      <c r="J30" s="2">
        <v>482.89769976740132</v>
      </c>
      <c r="K30" s="2">
        <v>0.72556332819559433</v>
      </c>
      <c r="L30" s="3">
        <v>194.57789587673659</v>
      </c>
      <c r="M30" s="1">
        <f t="shared" si="0"/>
        <v>9.2775159025632117E-3</v>
      </c>
    </row>
    <row r="31" spans="1:13" x14ac:dyDescent="0.3">
      <c r="A31">
        <v>2</v>
      </c>
      <c r="B31">
        <v>110</v>
      </c>
      <c r="C31" t="s">
        <v>31</v>
      </c>
      <c r="D31" t="s">
        <v>32</v>
      </c>
      <c r="E31" t="s">
        <v>26</v>
      </c>
      <c r="F31">
        <v>215.4</v>
      </c>
      <c r="G31">
        <v>21</v>
      </c>
      <c r="H31" s="2">
        <v>423.7587285013322</v>
      </c>
      <c r="I31" s="2">
        <v>18.102489818253421</v>
      </c>
      <c r="J31" s="2">
        <v>345.81506894104041</v>
      </c>
      <c r="K31" s="2">
        <v>1.433841976440742</v>
      </c>
      <c r="L31" s="3">
        <v>211.91723975065241</v>
      </c>
      <c r="M31" s="1">
        <f t="shared" si="0"/>
        <v>1.616880338601482E-2</v>
      </c>
    </row>
    <row r="32" spans="1:13" x14ac:dyDescent="0.3">
      <c r="A32">
        <v>2</v>
      </c>
      <c r="B32">
        <v>111</v>
      </c>
      <c r="C32" t="s">
        <v>33</v>
      </c>
      <c r="D32" t="s">
        <v>34</v>
      </c>
      <c r="E32" t="s">
        <v>14</v>
      </c>
      <c r="F32">
        <v>245.3</v>
      </c>
      <c r="G32">
        <v>18.2</v>
      </c>
      <c r="H32" s="2">
        <v>434.16608696299153</v>
      </c>
      <c r="I32" s="2">
        <v>16.028817085384659</v>
      </c>
      <c r="J32" s="2">
        <v>159.5859281696244</v>
      </c>
      <c r="K32" s="2">
        <v>1.369754171585581</v>
      </c>
      <c r="L32" s="3">
        <v>241.64410227961531</v>
      </c>
      <c r="M32" s="1">
        <f t="shared" si="0"/>
        <v>1.4903781982815738E-2</v>
      </c>
    </row>
    <row r="33" spans="1:13" x14ac:dyDescent="0.3">
      <c r="A33">
        <v>2</v>
      </c>
      <c r="B33">
        <v>112</v>
      </c>
      <c r="C33" t="s">
        <v>35</v>
      </c>
      <c r="D33" t="s">
        <v>32</v>
      </c>
      <c r="E33" t="s">
        <v>26</v>
      </c>
      <c r="F33">
        <v>205.2</v>
      </c>
      <c r="G33">
        <v>21.8</v>
      </c>
      <c r="H33" s="2">
        <v>382.4311813524273</v>
      </c>
      <c r="I33" s="2">
        <v>19.474851250024219</v>
      </c>
      <c r="J33" s="2">
        <v>406.84823909269738</v>
      </c>
      <c r="K33" s="2">
        <v>0.85815498974640392</v>
      </c>
      <c r="L33" s="3">
        <v>203.2407822710199</v>
      </c>
      <c r="M33" s="1">
        <f t="shared" si="0"/>
        <v>9.5478446831388543E-3</v>
      </c>
    </row>
    <row r="34" spans="1:13" x14ac:dyDescent="0.3">
      <c r="A34">
        <v>2</v>
      </c>
      <c r="B34">
        <v>113</v>
      </c>
      <c r="C34" t="s">
        <v>36</v>
      </c>
      <c r="D34" t="s">
        <v>28</v>
      </c>
      <c r="E34" t="s">
        <v>17</v>
      </c>
      <c r="F34">
        <v>317.10000000000002</v>
      </c>
      <c r="G34">
        <v>16.899999999999999</v>
      </c>
      <c r="H34" s="2">
        <v>529.136833545527</v>
      </c>
      <c r="I34" s="2">
        <v>14.838966820956291</v>
      </c>
      <c r="J34" s="2">
        <v>8.8090842437970789</v>
      </c>
      <c r="K34" s="2">
        <v>1.9015761585736051</v>
      </c>
      <c r="L34" s="3">
        <v>310.97200357732169</v>
      </c>
      <c r="M34" s="1">
        <f t="shared" si="0"/>
        <v>1.9325122745753189E-2</v>
      </c>
    </row>
    <row r="35" spans="1:13" x14ac:dyDescent="0.3">
      <c r="A35">
        <v>2</v>
      </c>
      <c r="B35">
        <v>114</v>
      </c>
      <c r="C35" t="s">
        <v>37</v>
      </c>
      <c r="D35" t="s">
        <v>16</v>
      </c>
      <c r="E35" t="s">
        <v>17</v>
      </c>
      <c r="F35">
        <v>309.10000000000002</v>
      </c>
      <c r="G35">
        <v>16.8</v>
      </c>
      <c r="H35" s="2">
        <v>535.72584240346157</v>
      </c>
      <c r="I35" s="2">
        <v>14.57872161299097</v>
      </c>
      <c r="J35" s="2">
        <v>10.9372359382439</v>
      </c>
      <c r="K35" s="2">
        <v>1.8573467869646001</v>
      </c>
      <c r="L35" s="3">
        <v>303.26079842827937</v>
      </c>
      <c r="M35" s="1">
        <f t="shared" si="0"/>
        <v>1.8890978879717406E-2</v>
      </c>
    </row>
    <row r="36" spans="1:13" x14ac:dyDescent="0.3">
      <c r="A36">
        <v>2</v>
      </c>
      <c r="B36">
        <v>115</v>
      </c>
      <c r="C36" t="s">
        <v>38</v>
      </c>
      <c r="D36" t="s">
        <v>13</v>
      </c>
      <c r="E36" t="s">
        <v>14</v>
      </c>
      <c r="F36">
        <v>225.1</v>
      </c>
      <c r="G36">
        <v>18.600000000000001</v>
      </c>
      <c r="H36" s="2">
        <v>471.60480974981442</v>
      </c>
      <c r="I36" s="2">
        <v>17.02250820737946</v>
      </c>
      <c r="J36" s="2">
        <v>206.304271673421</v>
      </c>
      <c r="K36" s="2">
        <v>1.3012166910885909</v>
      </c>
      <c r="L36" s="3">
        <v>222.07226244505071</v>
      </c>
      <c r="M36" s="1">
        <f t="shared" si="0"/>
        <v>1.3450633296087441E-2</v>
      </c>
    </row>
    <row r="37" spans="1:13" x14ac:dyDescent="0.3">
      <c r="A37">
        <v>2</v>
      </c>
      <c r="B37">
        <v>116</v>
      </c>
      <c r="C37" t="s">
        <v>39</v>
      </c>
      <c r="D37" t="s">
        <v>21</v>
      </c>
      <c r="E37" t="s">
        <v>14</v>
      </c>
      <c r="F37">
        <v>252.1</v>
      </c>
      <c r="G37">
        <v>18.8</v>
      </c>
      <c r="H37" s="2">
        <v>478.71882196235498</v>
      </c>
      <c r="I37" s="2">
        <v>16.746479777389059</v>
      </c>
      <c r="J37" s="2">
        <v>148.74516266254841</v>
      </c>
      <c r="K37" s="2">
        <v>1.716491658683575</v>
      </c>
      <c r="L37" s="3">
        <v>247.6744410201174</v>
      </c>
      <c r="M37" s="1">
        <f t="shared" si="0"/>
        <v>1.755477580278697E-2</v>
      </c>
    </row>
    <row r="38" spans="1:13" x14ac:dyDescent="0.3">
      <c r="A38">
        <v>2</v>
      </c>
      <c r="B38">
        <v>117</v>
      </c>
      <c r="C38" t="s">
        <v>40</v>
      </c>
      <c r="D38" t="s">
        <v>19</v>
      </c>
      <c r="E38" t="s">
        <v>17</v>
      </c>
      <c r="F38">
        <v>320.89999999999998</v>
      </c>
      <c r="G38">
        <v>16</v>
      </c>
      <c r="H38" s="2">
        <v>453.00044733736308</v>
      </c>
      <c r="I38" s="2">
        <v>13.26050369153918</v>
      </c>
      <c r="J38" s="2">
        <v>5.3566995346188051</v>
      </c>
      <c r="K38" s="2">
        <v>2.0795919625728052</v>
      </c>
      <c r="L38" s="3">
        <v>313.34530571976711</v>
      </c>
      <c r="M38" s="1">
        <f t="shared" si="0"/>
        <v>2.3542207168067517E-2</v>
      </c>
    </row>
    <row r="39" spans="1:13" x14ac:dyDescent="0.3">
      <c r="A39">
        <v>2</v>
      </c>
      <c r="B39">
        <v>118</v>
      </c>
      <c r="C39" t="s">
        <v>41</v>
      </c>
      <c r="D39" t="s">
        <v>28</v>
      </c>
      <c r="E39" t="s">
        <v>17</v>
      </c>
      <c r="F39">
        <v>321.8</v>
      </c>
      <c r="G39">
        <v>17</v>
      </c>
      <c r="H39" s="2">
        <v>473.12361273205602</v>
      </c>
      <c r="I39" s="2">
        <v>13.17442293320406</v>
      </c>
      <c r="J39" s="2">
        <v>4.0982826639624577</v>
      </c>
      <c r="K39" s="2">
        <v>1.7036382696926311</v>
      </c>
      <c r="L39" s="3">
        <v>315.53132115428667</v>
      </c>
      <c r="M39" s="1">
        <f t="shared" si="0"/>
        <v>1.9480046133354068E-2</v>
      </c>
    </row>
    <row r="40" spans="1:13" x14ac:dyDescent="0.3">
      <c r="A40">
        <v>2</v>
      </c>
      <c r="B40">
        <v>119</v>
      </c>
      <c r="C40" t="s">
        <v>42</v>
      </c>
      <c r="D40" t="s">
        <v>23</v>
      </c>
      <c r="E40" t="s">
        <v>17</v>
      </c>
      <c r="F40">
        <v>325.5</v>
      </c>
      <c r="G40">
        <v>16.2</v>
      </c>
      <c r="H40" s="2">
        <v>463.4054295291819</v>
      </c>
      <c r="I40" s="2">
        <v>14.819511430492391</v>
      </c>
      <c r="J40" s="2">
        <v>3.9362506468432978</v>
      </c>
      <c r="K40" s="2">
        <v>1.721398802458409</v>
      </c>
      <c r="L40" s="3">
        <v>319.4054538920102</v>
      </c>
      <c r="M40" s="1">
        <f t="shared" si="0"/>
        <v>1.872364395695791E-2</v>
      </c>
    </row>
    <row r="41" spans="1:13" x14ac:dyDescent="0.3">
      <c r="A41">
        <v>2</v>
      </c>
      <c r="B41">
        <v>120</v>
      </c>
      <c r="C41" t="s">
        <v>43</v>
      </c>
      <c r="D41" t="s">
        <v>25</v>
      </c>
      <c r="E41" t="s">
        <v>26</v>
      </c>
      <c r="F41">
        <v>202.3</v>
      </c>
      <c r="G41">
        <v>22</v>
      </c>
      <c r="H41" s="2">
        <v>365.51472358987871</v>
      </c>
      <c r="I41" s="2">
        <v>19.950486056954119</v>
      </c>
      <c r="J41" s="2">
        <v>424.75382057685761</v>
      </c>
      <c r="K41" s="2">
        <v>1.2687958678414319</v>
      </c>
      <c r="L41" s="3">
        <v>199.43703234696031</v>
      </c>
      <c r="M41" s="1">
        <f t="shared" si="0"/>
        <v>1.4152089238950585E-2</v>
      </c>
    </row>
    <row r="42" spans="1:13" x14ac:dyDescent="0.3">
      <c r="A42">
        <v>3</v>
      </c>
      <c r="B42">
        <v>101</v>
      </c>
      <c r="C42" t="s">
        <v>12</v>
      </c>
      <c r="D42" t="s">
        <v>13</v>
      </c>
      <c r="E42" t="s">
        <v>14</v>
      </c>
      <c r="F42">
        <v>217.3</v>
      </c>
      <c r="G42">
        <v>19.399999999999999</v>
      </c>
      <c r="H42" s="2">
        <v>480.85535490211112</v>
      </c>
      <c r="I42" s="2">
        <v>16.7459435253209</v>
      </c>
      <c r="J42" s="2">
        <v>234.8301036074667</v>
      </c>
      <c r="K42" s="2">
        <v>1.55888242383378</v>
      </c>
      <c r="L42" s="3">
        <v>213.61722514028071</v>
      </c>
      <c r="M42" s="1">
        <f t="shared" si="0"/>
        <v>1.6947882465344233E-2</v>
      </c>
    </row>
    <row r="43" spans="1:13" x14ac:dyDescent="0.3">
      <c r="A43">
        <v>3</v>
      </c>
      <c r="B43">
        <v>102</v>
      </c>
      <c r="C43" t="s">
        <v>15</v>
      </c>
      <c r="D43" t="s">
        <v>16</v>
      </c>
      <c r="E43" t="s">
        <v>17</v>
      </c>
      <c r="F43">
        <v>312.10000000000002</v>
      </c>
      <c r="G43">
        <v>17.8</v>
      </c>
      <c r="H43" s="2">
        <v>486.22323492774132</v>
      </c>
      <c r="I43" s="2">
        <v>13.665236373755651</v>
      </c>
      <c r="J43" s="2">
        <v>19.956631592306781</v>
      </c>
      <c r="K43" s="2">
        <v>1.858928391726089</v>
      </c>
      <c r="L43" s="3">
        <v>306.20014341781462</v>
      </c>
      <c r="M43" s="1">
        <f t="shared" si="0"/>
        <v>1.8903737847438023E-2</v>
      </c>
    </row>
    <row r="44" spans="1:13" x14ac:dyDescent="0.3">
      <c r="A44">
        <v>3</v>
      </c>
      <c r="B44">
        <v>103</v>
      </c>
      <c r="C44" t="s">
        <v>18</v>
      </c>
      <c r="D44" t="s">
        <v>19</v>
      </c>
      <c r="E44" t="s">
        <v>17</v>
      </c>
      <c r="F44">
        <v>345.8</v>
      </c>
      <c r="G44">
        <v>15.8</v>
      </c>
      <c r="H44" s="2">
        <v>477.96807157440708</v>
      </c>
      <c r="I44" s="2">
        <v>13.3453887650009</v>
      </c>
      <c r="J44" s="2">
        <v>0.36155591619846378</v>
      </c>
      <c r="K44" s="2">
        <v>1.843076953449776</v>
      </c>
      <c r="L44" s="3">
        <v>338.6413845105983</v>
      </c>
      <c r="M44" s="1">
        <f t="shared" si="0"/>
        <v>2.0701606389247285E-2</v>
      </c>
    </row>
    <row r="45" spans="1:13" x14ac:dyDescent="0.3">
      <c r="A45">
        <v>3</v>
      </c>
      <c r="B45">
        <v>104</v>
      </c>
      <c r="C45" t="s">
        <v>20</v>
      </c>
      <c r="D45" t="s">
        <v>21</v>
      </c>
      <c r="E45" t="s">
        <v>14</v>
      </c>
      <c r="F45">
        <v>240.1</v>
      </c>
      <c r="G45">
        <v>20.100000000000001</v>
      </c>
      <c r="H45" s="2">
        <v>496.22597958765721</v>
      </c>
      <c r="I45" s="2">
        <v>18.96988110233945</v>
      </c>
      <c r="J45" s="2">
        <v>159.66472290818041</v>
      </c>
      <c r="K45" s="2">
        <v>1.888624059303087</v>
      </c>
      <c r="L45" s="3">
        <v>235.4673022576726</v>
      </c>
      <c r="M45" s="1">
        <f t="shared" si="0"/>
        <v>1.9294867731476029E-2</v>
      </c>
    </row>
    <row r="46" spans="1:13" x14ac:dyDescent="0.3">
      <c r="A46">
        <v>3</v>
      </c>
      <c r="B46">
        <v>105</v>
      </c>
      <c r="C46" t="s">
        <v>22</v>
      </c>
      <c r="D46" t="s">
        <v>23</v>
      </c>
      <c r="E46" t="s">
        <v>17</v>
      </c>
      <c r="F46">
        <v>330.2</v>
      </c>
      <c r="G46">
        <v>16.100000000000001</v>
      </c>
      <c r="H46" s="2">
        <v>510.191256073278</v>
      </c>
      <c r="I46" s="2">
        <v>14.607048090541859</v>
      </c>
      <c r="J46" s="2">
        <v>9.0807263070348689</v>
      </c>
      <c r="K46" s="2">
        <v>1.590713184044098</v>
      </c>
      <c r="L46" s="3">
        <v>324.75064649265448</v>
      </c>
      <c r="M46" s="1">
        <f t="shared" si="0"/>
        <v>1.6503190512857379E-2</v>
      </c>
    </row>
    <row r="47" spans="1:13" x14ac:dyDescent="0.3">
      <c r="A47">
        <v>3</v>
      </c>
      <c r="B47">
        <v>106</v>
      </c>
      <c r="C47" t="s">
        <v>24</v>
      </c>
      <c r="D47" t="s">
        <v>25</v>
      </c>
      <c r="E47" t="s">
        <v>26</v>
      </c>
      <c r="F47">
        <v>190.1</v>
      </c>
      <c r="G47">
        <v>22.6</v>
      </c>
      <c r="H47" s="2">
        <v>408.41092948540228</v>
      </c>
      <c r="I47" s="2">
        <v>19.77477532894784</v>
      </c>
      <c r="J47" s="2">
        <v>416.91030757642932</v>
      </c>
      <c r="K47" s="2">
        <v>1.396991609382205</v>
      </c>
      <c r="L47" s="3">
        <v>187.3457159421738</v>
      </c>
      <c r="M47" s="1">
        <f>(F47-L47)/F47</f>
        <v>1.4488606301032075E-2</v>
      </c>
    </row>
    <row r="48" spans="1:13" x14ac:dyDescent="0.3">
      <c r="A48">
        <v>3</v>
      </c>
      <c r="B48">
        <v>107</v>
      </c>
      <c r="C48" t="s">
        <v>27</v>
      </c>
      <c r="D48" t="s">
        <v>28</v>
      </c>
      <c r="E48" t="s">
        <v>17</v>
      </c>
      <c r="F48">
        <v>320.10000000000002</v>
      </c>
      <c r="G48">
        <v>16.399999999999999</v>
      </c>
      <c r="H48" s="2">
        <v>463.67658519539151</v>
      </c>
      <c r="I48" s="2">
        <v>12.81481907373794</v>
      </c>
      <c r="J48" s="2">
        <v>3.7636189230682748</v>
      </c>
      <c r="K48" s="2">
        <v>2.1560339806576398</v>
      </c>
      <c r="L48" s="3">
        <v>313.10069126189552</v>
      </c>
      <c r="M48" s="1">
        <f t="shared" si="0"/>
        <v>2.1866006679489229E-2</v>
      </c>
    </row>
    <row r="49" spans="1:13" x14ac:dyDescent="0.3">
      <c r="A49">
        <v>3</v>
      </c>
      <c r="B49">
        <v>108</v>
      </c>
      <c r="C49" t="s">
        <v>29</v>
      </c>
      <c r="D49" t="s">
        <v>28</v>
      </c>
      <c r="E49" t="s">
        <v>17</v>
      </c>
      <c r="F49">
        <v>318.8</v>
      </c>
      <c r="G49">
        <v>17.100000000000001</v>
      </c>
      <c r="H49" s="2">
        <v>503.42475232653499</v>
      </c>
      <c r="I49" s="2">
        <v>13.38029271181764</v>
      </c>
      <c r="J49" s="2">
        <v>15.810122774799799</v>
      </c>
      <c r="K49" s="2">
        <v>1.569147675566585</v>
      </c>
      <c r="L49" s="3">
        <v>313.01011039169828</v>
      </c>
      <c r="M49" s="1">
        <f t="shared" si="0"/>
        <v>1.8161510691034298E-2</v>
      </c>
    </row>
    <row r="50" spans="1:13" x14ac:dyDescent="0.3">
      <c r="A50">
        <v>3</v>
      </c>
      <c r="B50">
        <v>109</v>
      </c>
      <c r="C50" t="s">
        <v>30</v>
      </c>
      <c r="D50" t="s">
        <v>25</v>
      </c>
      <c r="E50" t="s">
        <v>26</v>
      </c>
      <c r="F50">
        <v>196.6</v>
      </c>
      <c r="G50">
        <v>22.2</v>
      </c>
      <c r="H50" s="2">
        <v>429.45862076851432</v>
      </c>
      <c r="I50" s="2">
        <v>19.64544280883581</v>
      </c>
      <c r="J50" s="2">
        <v>451.9607823062139</v>
      </c>
      <c r="K50" s="2">
        <v>0.95369901526712375</v>
      </c>
      <c r="L50" s="3">
        <v>194.13074993007641</v>
      </c>
      <c r="M50" s="1">
        <f t="shared" si="0"/>
        <v>1.2559766378044707E-2</v>
      </c>
    </row>
    <row r="51" spans="1:13" x14ac:dyDescent="0.3">
      <c r="A51">
        <v>3</v>
      </c>
      <c r="B51">
        <v>110</v>
      </c>
      <c r="C51" t="s">
        <v>31</v>
      </c>
      <c r="D51" t="s">
        <v>32</v>
      </c>
      <c r="E51" t="s">
        <v>26</v>
      </c>
      <c r="F51">
        <v>215.4</v>
      </c>
      <c r="G51">
        <v>21</v>
      </c>
      <c r="H51" s="2">
        <v>438.29618075130441</v>
      </c>
      <c r="I51" s="2">
        <v>19.328121204362681</v>
      </c>
      <c r="J51" s="2">
        <v>426.49345916327752</v>
      </c>
      <c r="K51" s="2">
        <v>0.73894189613364736</v>
      </c>
      <c r="L51" s="3">
        <v>213.41127492331259</v>
      </c>
      <c r="M51" s="1">
        <f t="shared" si="0"/>
        <v>9.2327069484095456E-3</v>
      </c>
    </row>
    <row r="52" spans="1:13" x14ac:dyDescent="0.3">
      <c r="A52">
        <v>3</v>
      </c>
      <c r="B52">
        <v>111</v>
      </c>
      <c r="C52" t="s">
        <v>33</v>
      </c>
      <c r="D52" t="s">
        <v>34</v>
      </c>
      <c r="E52" t="s">
        <v>14</v>
      </c>
      <c r="F52">
        <v>245.8</v>
      </c>
      <c r="G52">
        <v>18.2</v>
      </c>
      <c r="H52" s="2">
        <v>495.1986468871695</v>
      </c>
      <c r="I52" s="2">
        <v>17.072474173000899</v>
      </c>
      <c r="J52" s="2">
        <v>233.88530603812529</v>
      </c>
      <c r="K52" s="2">
        <v>1.309897803051292</v>
      </c>
      <c r="L52" s="3">
        <v>241.79075038252429</v>
      </c>
      <c r="M52" s="1">
        <f t="shared" si="0"/>
        <v>1.6311023667517157E-2</v>
      </c>
    </row>
    <row r="53" spans="1:13" x14ac:dyDescent="0.3">
      <c r="A53">
        <v>3</v>
      </c>
      <c r="B53">
        <v>112</v>
      </c>
      <c r="C53" t="s">
        <v>35</v>
      </c>
      <c r="D53" t="s">
        <v>32</v>
      </c>
      <c r="E53" t="s">
        <v>26</v>
      </c>
      <c r="F53">
        <v>205.1</v>
      </c>
      <c r="G53">
        <v>21.8</v>
      </c>
      <c r="H53" s="2">
        <v>422.41651407054661</v>
      </c>
      <c r="I53" s="2">
        <v>19.459935571461049</v>
      </c>
      <c r="J53" s="2">
        <v>303.35232398224917</v>
      </c>
      <c r="K53" s="2">
        <v>0.7154098726377186</v>
      </c>
      <c r="L53" s="3">
        <v>203.53340976109271</v>
      </c>
      <c r="M53" s="1">
        <f t="shared" si="0"/>
        <v>7.6381776641018103E-3</v>
      </c>
    </row>
    <row r="54" spans="1:13" x14ac:dyDescent="0.3">
      <c r="A54">
        <v>3</v>
      </c>
      <c r="B54">
        <v>113</v>
      </c>
      <c r="C54" t="s">
        <v>36</v>
      </c>
      <c r="D54" t="s">
        <v>28</v>
      </c>
      <c r="E54" t="s">
        <v>17</v>
      </c>
      <c r="F54">
        <v>317.2</v>
      </c>
      <c r="G54">
        <v>16.899999999999999</v>
      </c>
      <c r="H54" s="2">
        <v>520.97750281615504</v>
      </c>
      <c r="I54" s="2">
        <v>12.95959503675013</v>
      </c>
      <c r="J54" s="2">
        <v>11.20161792589259</v>
      </c>
      <c r="K54" s="2">
        <v>1.673634361584929</v>
      </c>
      <c r="L54" s="3">
        <v>311.6945790737758</v>
      </c>
      <c r="M54" s="1">
        <f t="shared" si="0"/>
        <v>1.7356308090240195E-2</v>
      </c>
    </row>
    <row r="55" spans="1:13" x14ac:dyDescent="0.3">
      <c r="A55">
        <v>3</v>
      </c>
      <c r="B55">
        <v>114</v>
      </c>
      <c r="C55" t="s">
        <v>37</v>
      </c>
      <c r="D55" t="s">
        <v>16</v>
      </c>
      <c r="E55" t="s">
        <v>17</v>
      </c>
      <c r="F55">
        <v>309.5</v>
      </c>
      <c r="G55">
        <v>16.8</v>
      </c>
      <c r="H55" s="2">
        <v>528.51802057964801</v>
      </c>
      <c r="I55" s="2">
        <v>12.01813371154541</v>
      </c>
      <c r="J55" s="2">
        <v>6.7404022987655949</v>
      </c>
      <c r="K55" s="2">
        <v>1.8120507608083281</v>
      </c>
      <c r="L55" s="3">
        <v>303.40076314910232</v>
      </c>
      <c r="M55" s="1">
        <f t="shared" si="0"/>
        <v>1.9706742652335001E-2</v>
      </c>
    </row>
    <row r="56" spans="1:13" x14ac:dyDescent="0.3">
      <c r="A56">
        <v>3</v>
      </c>
      <c r="B56">
        <v>115</v>
      </c>
      <c r="C56" t="s">
        <v>38</v>
      </c>
      <c r="D56" t="s">
        <v>13</v>
      </c>
      <c r="E56" t="s">
        <v>14</v>
      </c>
      <c r="F56">
        <v>225.4</v>
      </c>
      <c r="G56">
        <v>18.600000000000001</v>
      </c>
      <c r="H56" s="2">
        <v>458.63663816026178</v>
      </c>
      <c r="I56" s="2">
        <v>17.294133071495839</v>
      </c>
      <c r="J56" s="2">
        <v>194.10971996979231</v>
      </c>
      <c r="K56" s="2">
        <v>1.6447813650034639</v>
      </c>
      <c r="L56" s="3">
        <v>221.29924192874219</v>
      </c>
      <c r="M56" s="1">
        <f t="shared" si="0"/>
        <v>1.8193247876032895E-2</v>
      </c>
    </row>
    <row r="57" spans="1:13" x14ac:dyDescent="0.3">
      <c r="A57">
        <v>3</v>
      </c>
      <c r="B57">
        <v>116</v>
      </c>
      <c r="C57" t="s">
        <v>39</v>
      </c>
      <c r="D57" t="s">
        <v>21</v>
      </c>
      <c r="E57" t="s">
        <v>14</v>
      </c>
      <c r="F57">
        <v>252.4</v>
      </c>
      <c r="G57">
        <v>18.8</v>
      </c>
      <c r="H57" s="2">
        <v>410.71141647436099</v>
      </c>
      <c r="I57" s="2">
        <v>17.29675313401945</v>
      </c>
      <c r="J57" s="2">
        <v>203.85797012067229</v>
      </c>
      <c r="K57" s="2">
        <v>1.0967883109564129</v>
      </c>
      <c r="L57" s="3">
        <v>249.23609345638991</v>
      </c>
      <c r="M57" s="1">
        <f t="shared" si="0"/>
        <v>1.2535287415253947E-2</v>
      </c>
    </row>
    <row r="58" spans="1:13" x14ac:dyDescent="0.3">
      <c r="A58">
        <v>3</v>
      </c>
      <c r="B58">
        <v>117</v>
      </c>
      <c r="C58" t="s">
        <v>40</v>
      </c>
      <c r="D58" t="s">
        <v>19</v>
      </c>
      <c r="E58" t="s">
        <v>17</v>
      </c>
      <c r="F58">
        <v>320.2</v>
      </c>
      <c r="G58">
        <v>16</v>
      </c>
      <c r="H58" s="2">
        <v>483.84232369667887</v>
      </c>
      <c r="I58" s="2">
        <v>13.40262014240103</v>
      </c>
      <c r="J58" s="2">
        <v>10.612931989648979</v>
      </c>
      <c r="K58" s="2">
        <v>2.4066634389323101</v>
      </c>
      <c r="L58" s="3">
        <v>312.2986769954166</v>
      </c>
      <c r="M58" s="1">
        <f t="shared" si="0"/>
        <v>2.4676211756974983E-2</v>
      </c>
    </row>
    <row r="59" spans="1:13" x14ac:dyDescent="0.3">
      <c r="A59">
        <v>3</v>
      </c>
      <c r="B59">
        <v>118</v>
      </c>
      <c r="C59" t="s">
        <v>41</v>
      </c>
      <c r="D59" t="s">
        <v>28</v>
      </c>
      <c r="E59" t="s">
        <v>17</v>
      </c>
      <c r="F59">
        <v>321.89999999999998</v>
      </c>
      <c r="G59">
        <v>17</v>
      </c>
      <c r="H59" s="2">
        <v>482.31531494571169</v>
      </c>
      <c r="I59" s="2">
        <v>12.24155825528767</v>
      </c>
      <c r="J59" s="2">
        <v>1.0477201229044319</v>
      </c>
      <c r="K59" s="2">
        <v>1.7711981691329859</v>
      </c>
      <c r="L59" s="3">
        <v>315.31445387708311</v>
      </c>
      <c r="M59" s="1">
        <f t="shared" si="0"/>
        <v>2.0458360120897381E-2</v>
      </c>
    </row>
    <row r="60" spans="1:13" x14ac:dyDescent="0.3">
      <c r="A60">
        <v>3</v>
      </c>
      <c r="B60">
        <v>119</v>
      </c>
      <c r="C60" t="s">
        <v>42</v>
      </c>
      <c r="D60" t="s">
        <v>23</v>
      </c>
      <c r="E60" t="s">
        <v>17</v>
      </c>
      <c r="F60">
        <v>325.10000000000002</v>
      </c>
      <c r="G60">
        <v>16.2</v>
      </c>
      <c r="H60" s="2">
        <v>486.53031149098467</v>
      </c>
      <c r="I60" s="2">
        <v>14.892941175564619</v>
      </c>
      <c r="J60" s="2">
        <v>18.016670006302451</v>
      </c>
      <c r="K60" s="2">
        <v>1.6920902618481199</v>
      </c>
      <c r="L60" s="3">
        <v>319.50070664899363</v>
      </c>
      <c r="M60" s="1">
        <f t="shared" si="0"/>
        <v>1.7223295450650246E-2</v>
      </c>
    </row>
    <row r="61" spans="1:13" x14ac:dyDescent="0.3">
      <c r="A61">
        <v>3</v>
      </c>
      <c r="B61">
        <v>120</v>
      </c>
      <c r="C61" t="s">
        <v>43</v>
      </c>
      <c r="D61" t="s">
        <v>25</v>
      </c>
      <c r="E61" t="s">
        <v>26</v>
      </c>
      <c r="F61">
        <v>202.1</v>
      </c>
      <c r="G61">
        <v>22</v>
      </c>
      <c r="H61" s="2">
        <v>396.68654812562158</v>
      </c>
      <c r="I61" s="2">
        <v>19.891315587727931</v>
      </c>
      <c r="J61" s="2">
        <v>395.19837056628222</v>
      </c>
      <c r="K61" s="2">
        <v>0.81021196314724064</v>
      </c>
      <c r="L61" s="3">
        <v>200.3633718344426</v>
      </c>
      <c r="M61" s="1">
        <f>(F61-L61)/F61</f>
        <v>8.5929152179979786E-3</v>
      </c>
    </row>
    <row r="62" spans="1:13" x14ac:dyDescent="0.3">
      <c r="A62">
        <v>4</v>
      </c>
      <c r="B62">
        <v>101</v>
      </c>
      <c r="C62" t="s">
        <v>12</v>
      </c>
      <c r="D62" t="s">
        <v>13</v>
      </c>
      <c r="E62" t="s">
        <v>14</v>
      </c>
      <c r="F62">
        <v>217.3</v>
      </c>
      <c r="G62">
        <v>19.399999999999999</v>
      </c>
      <c r="H62" s="2">
        <v>430.86021226468921</v>
      </c>
      <c r="I62" s="2">
        <v>18.37073724351589</v>
      </c>
      <c r="J62" s="2">
        <v>161.82463605526999</v>
      </c>
      <c r="K62" s="2">
        <v>1.8796062405337051</v>
      </c>
      <c r="L62" s="3">
        <v>212.92125445804189</v>
      </c>
      <c r="M62" s="1">
        <f t="shared" si="0"/>
        <v>2.0150692783976645E-2</v>
      </c>
    </row>
    <row r="63" spans="1:13" x14ac:dyDescent="0.3">
      <c r="A63">
        <v>4</v>
      </c>
      <c r="B63">
        <v>102</v>
      </c>
      <c r="C63" t="s">
        <v>15</v>
      </c>
      <c r="D63" t="s">
        <v>16</v>
      </c>
      <c r="E63" t="s">
        <v>17</v>
      </c>
      <c r="F63">
        <v>312.3</v>
      </c>
      <c r="G63">
        <v>17.8</v>
      </c>
      <c r="H63" s="2">
        <v>530.03360175270132</v>
      </c>
      <c r="I63" s="2">
        <v>12.14765010884871</v>
      </c>
      <c r="J63" s="2">
        <v>1.661304172928977</v>
      </c>
      <c r="K63" s="2">
        <v>1.9851639162681349</v>
      </c>
      <c r="L63" s="3">
        <v>305.80628858124339</v>
      </c>
      <c r="M63" s="1">
        <f t="shared" si="0"/>
        <v>2.0793184177895031E-2</v>
      </c>
    </row>
    <row r="64" spans="1:13" x14ac:dyDescent="0.3">
      <c r="A64">
        <v>4</v>
      </c>
      <c r="B64">
        <v>103</v>
      </c>
      <c r="C64" t="s">
        <v>18</v>
      </c>
      <c r="D64" t="s">
        <v>19</v>
      </c>
      <c r="E64" t="s">
        <v>17</v>
      </c>
      <c r="F64">
        <v>345.8</v>
      </c>
      <c r="G64">
        <v>15.8</v>
      </c>
      <c r="H64" s="2">
        <v>529.30917713801307</v>
      </c>
      <c r="I64" s="2">
        <v>13.4579319371556</v>
      </c>
      <c r="J64" s="2">
        <v>1.594107721266798</v>
      </c>
      <c r="K64" s="2">
        <v>1.8021574800758351</v>
      </c>
      <c r="L64" s="3">
        <v>338.78255669373829</v>
      </c>
      <c r="M64" s="1">
        <f t="shared" si="0"/>
        <v>2.029335831770308E-2</v>
      </c>
    </row>
    <row r="65" spans="1:13" x14ac:dyDescent="0.3">
      <c r="A65">
        <v>4</v>
      </c>
      <c r="B65">
        <v>104</v>
      </c>
      <c r="C65" t="s">
        <v>20</v>
      </c>
      <c r="D65" t="s">
        <v>21</v>
      </c>
      <c r="E65" t="s">
        <v>14</v>
      </c>
      <c r="F65">
        <v>240.7</v>
      </c>
      <c r="G65">
        <v>20.100000000000001</v>
      </c>
      <c r="H65" s="2">
        <v>435.69101579436472</v>
      </c>
      <c r="I65" s="2">
        <v>17.451889022867061</v>
      </c>
      <c r="J65" s="2">
        <v>218.74395814980531</v>
      </c>
      <c r="K65" s="2">
        <v>1.9999912725800759</v>
      </c>
      <c r="L65" s="3">
        <v>235.20002094580781</v>
      </c>
      <c r="M65" s="1">
        <f t="shared" si="0"/>
        <v>2.2849933752356381E-2</v>
      </c>
    </row>
    <row r="66" spans="1:13" x14ac:dyDescent="0.3">
      <c r="A66">
        <v>4</v>
      </c>
      <c r="B66">
        <v>105</v>
      </c>
      <c r="C66" t="s">
        <v>22</v>
      </c>
      <c r="D66" t="s">
        <v>23</v>
      </c>
      <c r="E66" t="s">
        <v>17</v>
      </c>
      <c r="F66">
        <v>330.7</v>
      </c>
      <c r="G66">
        <v>16.100000000000001</v>
      </c>
      <c r="H66" s="2">
        <v>463.30206411172509</v>
      </c>
      <c r="I66" s="2">
        <v>14.06830553069948</v>
      </c>
      <c r="J66" s="2">
        <v>1.6749693269993471</v>
      </c>
      <c r="K66" s="2">
        <v>2.2362954449726158</v>
      </c>
      <c r="L66" s="3">
        <v>322.62022503159039</v>
      </c>
      <c r="M66" s="1">
        <f t="shared" si="0"/>
        <v>2.4432340394344103E-2</v>
      </c>
    </row>
    <row r="67" spans="1:13" x14ac:dyDescent="0.3">
      <c r="A67">
        <v>4</v>
      </c>
      <c r="B67">
        <v>106</v>
      </c>
      <c r="C67" t="s">
        <v>24</v>
      </c>
      <c r="D67" t="s">
        <v>25</v>
      </c>
      <c r="E67" t="s">
        <v>26</v>
      </c>
      <c r="F67">
        <v>190.6</v>
      </c>
      <c r="G67">
        <v>22.6</v>
      </c>
      <c r="H67" s="2">
        <v>421.63841631434582</v>
      </c>
      <c r="I67" s="2">
        <v>20.082688066213219</v>
      </c>
      <c r="J67" s="2">
        <v>370.73983932013692</v>
      </c>
      <c r="K67" s="2">
        <v>0.75255932901293565</v>
      </c>
      <c r="L67" s="3">
        <v>188.57013727487541</v>
      </c>
      <c r="M67" s="1">
        <f t="shared" ref="M67:M78" si="1">(F67-L67)/F67</f>
        <v>1.0649856899919137E-2</v>
      </c>
    </row>
    <row r="68" spans="1:13" x14ac:dyDescent="0.3">
      <c r="A68">
        <v>4</v>
      </c>
      <c r="B68">
        <v>107</v>
      </c>
      <c r="C68" t="s">
        <v>27</v>
      </c>
      <c r="D68" t="s">
        <v>28</v>
      </c>
      <c r="E68" t="s">
        <v>17</v>
      </c>
      <c r="F68">
        <v>320.10000000000002</v>
      </c>
      <c r="G68">
        <v>16.399999999999999</v>
      </c>
      <c r="H68" s="2">
        <v>496.01600066974908</v>
      </c>
      <c r="I68" s="2">
        <v>14.281395423965421</v>
      </c>
      <c r="J68" s="2">
        <v>18.77757820306007</v>
      </c>
      <c r="K68" s="2">
        <v>1.683046641047127</v>
      </c>
      <c r="L68" s="3">
        <v>314.61425074864923</v>
      </c>
      <c r="M68" s="1">
        <f t="shared" si="1"/>
        <v>1.713761090706278E-2</v>
      </c>
    </row>
    <row r="69" spans="1:13" x14ac:dyDescent="0.3">
      <c r="A69">
        <v>4</v>
      </c>
      <c r="B69">
        <v>108</v>
      </c>
      <c r="C69" t="s">
        <v>29</v>
      </c>
      <c r="D69" t="s">
        <v>28</v>
      </c>
      <c r="E69" t="s">
        <v>17</v>
      </c>
      <c r="F69">
        <v>318.2</v>
      </c>
      <c r="G69">
        <v>17.100000000000001</v>
      </c>
      <c r="H69" s="2">
        <v>518.9965900447196</v>
      </c>
      <c r="I69" s="2">
        <v>14.648730898512831</v>
      </c>
      <c r="J69" s="2">
        <v>18.545729402557669</v>
      </c>
      <c r="K69" s="2">
        <v>1.9657593299953151</v>
      </c>
      <c r="L69" s="3">
        <v>311.74888533061488</v>
      </c>
      <c r="M69" s="1">
        <f t="shared" si="1"/>
        <v>2.0273773316735091E-2</v>
      </c>
    </row>
    <row r="70" spans="1:13" x14ac:dyDescent="0.3">
      <c r="A70">
        <v>4</v>
      </c>
      <c r="B70">
        <v>109</v>
      </c>
      <c r="C70" t="s">
        <v>30</v>
      </c>
      <c r="D70" t="s">
        <v>25</v>
      </c>
      <c r="E70" t="s">
        <v>26</v>
      </c>
      <c r="F70">
        <v>196.3</v>
      </c>
      <c r="G70">
        <v>22.2</v>
      </c>
      <c r="H70" s="2">
        <v>363.82312899212673</v>
      </c>
      <c r="I70" s="2">
        <v>18.93786624350891</v>
      </c>
      <c r="J70" s="2">
        <v>463.3027131103064</v>
      </c>
      <c r="K70" s="2">
        <v>1.0272746696151951</v>
      </c>
      <c r="L70" s="3">
        <v>193.98654164755419</v>
      </c>
      <c r="M70" s="1">
        <f t="shared" si="1"/>
        <v>1.1785320185663885E-2</v>
      </c>
    </row>
    <row r="71" spans="1:13" x14ac:dyDescent="0.3">
      <c r="A71">
        <v>4</v>
      </c>
      <c r="B71">
        <v>110</v>
      </c>
      <c r="C71" t="s">
        <v>31</v>
      </c>
      <c r="D71" t="s">
        <v>32</v>
      </c>
      <c r="E71" t="s">
        <v>26</v>
      </c>
      <c r="F71">
        <v>215.3</v>
      </c>
      <c r="G71">
        <v>21</v>
      </c>
      <c r="H71" s="2">
        <v>359.41170721997469</v>
      </c>
      <c r="I71" s="2">
        <v>19.360344417967191</v>
      </c>
      <c r="J71" s="2">
        <v>364.83623493276082</v>
      </c>
      <c r="K71" s="2">
        <v>0.88872726786126366</v>
      </c>
      <c r="L71" s="3">
        <v>213.08923637409831</v>
      </c>
      <c r="M71" s="1">
        <f t="shared" si="1"/>
        <v>1.0268293664197424E-2</v>
      </c>
    </row>
    <row r="72" spans="1:13" x14ac:dyDescent="0.3">
      <c r="A72">
        <v>4</v>
      </c>
      <c r="B72">
        <v>111</v>
      </c>
      <c r="C72" t="s">
        <v>33</v>
      </c>
      <c r="D72" t="s">
        <v>34</v>
      </c>
      <c r="E72" t="s">
        <v>14</v>
      </c>
      <c r="F72">
        <v>245.7</v>
      </c>
      <c r="G72">
        <v>18.2</v>
      </c>
      <c r="H72" s="2">
        <v>482.45392954168187</v>
      </c>
      <c r="I72" s="2">
        <v>17.209630488133168</v>
      </c>
      <c r="J72" s="2">
        <v>184.47365072117731</v>
      </c>
      <c r="K72" s="2">
        <v>1.6621324147054259</v>
      </c>
      <c r="L72" s="3">
        <v>240.92777558397171</v>
      </c>
      <c r="M72" s="1">
        <f t="shared" si="1"/>
        <v>1.9422972796207895E-2</v>
      </c>
    </row>
    <row r="73" spans="1:13" x14ac:dyDescent="0.3">
      <c r="A73">
        <v>4</v>
      </c>
      <c r="B73">
        <v>112</v>
      </c>
      <c r="C73" t="s">
        <v>35</v>
      </c>
      <c r="D73" t="s">
        <v>32</v>
      </c>
      <c r="E73" t="s">
        <v>26</v>
      </c>
      <c r="F73">
        <v>205.7</v>
      </c>
      <c r="G73">
        <v>21.8</v>
      </c>
      <c r="H73" s="2">
        <v>353.4142393739159</v>
      </c>
      <c r="I73" s="2">
        <v>20.402230705483898</v>
      </c>
      <c r="J73" s="2">
        <v>495.13047883794337</v>
      </c>
      <c r="K73" s="2">
        <v>0.7367046730994331</v>
      </c>
      <c r="L73" s="3">
        <v>203.4897554201462</v>
      </c>
      <c r="M73" s="1">
        <f t="shared" si="1"/>
        <v>1.0744990665307695E-2</v>
      </c>
    </row>
    <row r="74" spans="1:13" x14ac:dyDescent="0.3">
      <c r="A74">
        <v>4</v>
      </c>
      <c r="B74">
        <v>113</v>
      </c>
      <c r="C74" t="s">
        <v>36</v>
      </c>
      <c r="D74" t="s">
        <v>28</v>
      </c>
      <c r="E74" t="s">
        <v>17</v>
      </c>
      <c r="F74">
        <v>317.7</v>
      </c>
      <c r="G74">
        <v>16.899999999999999</v>
      </c>
      <c r="H74" s="2">
        <v>505.60214026531861</v>
      </c>
      <c r="I74" s="2">
        <v>14.615829691829401</v>
      </c>
      <c r="J74" s="2">
        <v>19.537961051172871</v>
      </c>
      <c r="K74" s="2">
        <v>2.3313032750311291</v>
      </c>
      <c r="L74" s="3">
        <v>309.60976861815129</v>
      </c>
      <c r="M74" s="1">
        <f t="shared" si="1"/>
        <v>2.5465002775727719E-2</v>
      </c>
    </row>
    <row r="75" spans="1:13" x14ac:dyDescent="0.3">
      <c r="A75">
        <v>4</v>
      </c>
      <c r="B75">
        <v>114</v>
      </c>
      <c r="C75" t="s">
        <v>37</v>
      </c>
      <c r="D75" t="s">
        <v>16</v>
      </c>
      <c r="E75" t="s">
        <v>17</v>
      </c>
      <c r="F75">
        <v>309.3</v>
      </c>
      <c r="G75">
        <v>16.8</v>
      </c>
      <c r="H75" s="2">
        <v>454.64672370993748</v>
      </c>
      <c r="I75" s="2">
        <v>14.575659445718619</v>
      </c>
      <c r="J75" s="2">
        <v>14.93380498260221</v>
      </c>
      <c r="K75" s="2">
        <v>2.4825623498930329</v>
      </c>
      <c r="L75" s="3">
        <v>301.32888233883051</v>
      </c>
      <c r="M75" s="1">
        <f t="shared" si="1"/>
        <v>2.5771476434430975E-2</v>
      </c>
    </row>
    <row r="76" spans="1:13" x14ac:dyDescent="0.3">
      <c r="A76">
        <v>4</v>
      </c>
      <c r="B76">
        <v>115</v>
      </c>
      <c r="C76" t="s">
        <v>38</v>
      </c>
      <c r="D76" t="s">
        <v>13</v>
      </c>
      <c r="E76" t="s">
        <v>14</v>
      </c>
      <c r="F76">
        <v>225.4</v>
      </c>
      <c r="G76">
        <v>18.600000000000001</v>
      </c>
      <c r="H76" s="2">
        <v>494.5276430830437</v>
      </c>
      <c r="I76" s="2">
        <v>17.141144213048658</v>
      </c>
      <c r="J76" s="2">
        <v>226.83848465805079</v>
      </c>
      <c r="K76" s="2">
        <v>1.361811546835195</v>
      </c>
      <c r="L76" s="3">
        <v>221.93592401962081</v>
      </c>
      <c r="M76" s="1">
        <f t="shared" si="1"/>
        <v>1.5368571341522592E-2</v>
      </c>
    </row>
    <row r="77" spans="1:13" x14ac:dyDescent="0.3">
      <c r="A77">
        <v>4</v>
      </c>
      <c r="B77">
        <v>116</v>
      </c>
      <c r="C77" t="s">
        <v>39</v>
      </c>
      <c r="D77" t="s">
        <v>21</v>
      </c>
      <c r="E77" t="s">
        <v>14</v>
      </c>
      <c r="F77">
        <v>252.9</v>
      </c>
      <c r="G77">
        <v>18.8</v>
      </c>
      <c r="H77" s="2">
        <v>473.4404720384199</v>
      </c>
      <c r="I77" s="2">
        <v>16.208217932905679</v>
      </c>
      <c r="J77" s="2">
        <v>141.6964199211377</v>
      </c>
      <c r="K77" s="2">
        <v>1.139611787399031</v>
      </c>
      <c r="L77" s="3">
        <v>249.12817829575451</v>
      </c>
      <c r="M77" s="1">
        <f t="shared" si="1"/>
        <v>1.491428115557729E-2</v>
      </c>
    </row>
    <row r="78" spans="1:13" x14ac:dyDescent="0.3">
      <c r="A78">
        <v>4</v>
      </c>
      <c r="B78">
        <v>117</v>
      </c>
      <c r="C78" t="s">
        <v>40</v>
      </c>
      <c r="D78" t="s">
        <v>19</v>
      </c>
      <c r="E78" t="s">
        <v>17</v>
      </c>
      <c r="F78">
        <v>320.7</v>
      </c>
      <c r="G78">
        <v>16</v>
      </c>
      <c r="H78" s="2">
        <v>503.184780979903</v>
      </c>
      <c r="I78" s="2">
        <v>13.707975925195489</v>
      </c>
      <c r="J78" s="2">
        <v>14.32398673735074</v>
      </c>
      <c r="K78" s="2">
        <v>2.4563031846399568</v>
      </c>
      <c r="L78" s="3">
        <v>312.13982980915222</v>
      </c>
      <c r="M78" s="1">
        <f t="shared" si="1"/>
        <v>2.6692142784059156E-2</v>
      </c>
    </row>
    <row r="79" spans="1:13" x14ac:dyDescent="0.3">
      <c r="A79">
        <v>4</v>
      </c>
      <c r="B79">
        <v>118</v>
      </c>
      <c r="C79" t="s">
        <v>41</v>
      </c>
      <c r="D79" t="s">
        <v>28</v>
      </c>
      <c r="E79" t="s">
        <v>17</v>
      </c>
      <c r="F79">
        <v>321.2</v>
      </c>
      <c r="G79">
        <v>17</v>
      </c>
      <c r="H79" s="2">
        <v>497.37938451376078</v>
      </c>
      <c r="I79" s="2">
        <v>14.98830757596944</v>
      </c>
      <c r="J79" s="2">
        <v>18.20948566525756</v>
      </c>
      <c r="K79" s="2">
        <v>2.0699894484287751</v>
      </c>
      <c r="L79" s="3">
        <v>314.35533387054357</v>
      </c>
      <c r="M79" s="1">
        <f>(F79-L79)/F79</f>
        <v>2.1309670390586594E-2</v>
      </c>
    </row>
    <row r="80" spans="1:13" x14ac:dyDescent="0.3">
      <c r="A80">
        <v>4</v>
      </c>
      <c r="B80">
        <v>119</v>
      </c>
      <c r="C80" t="s">
        <v>42</v>
      </c>
      <c r="D80" t="s">
        <v>23</v>
      </c>
      <c r="E80" t="s">
        <v>17</v>
      </c>
      <c r="F80">
        <v>325.5</v>
      </c>
      <c r="G80">
        <v>16.2</v>
      </c>
      <c r="H80" s="2">
        <v>461.42711276195871</v>
      </c>
      <c r="I80" s="2">
        <v>14.12549615120286</v>
      </c>
      <c r="J80" s="2">
        <v>11.81358030585524</v>
      </c>
      <c r="K80" s="2">
        <v>2.1533624995477361</v>
      </c>
      <c r="L80" s="3">
        <v>318.00157187646982</v>
      </c>
      <c r="M80" s="1">
        <f t="shared" ref="M80:M81" si="2">(F80-L80)/F80</f>
        <v>2.303664554079931E-2</v>
      </c>
    </row>
    <row r="81" spans="1:13" x14ac:dyDescent="0.3">
      <c r="A81">
        <v>4</v>
      </c>
      <c r="B81">
        <v>120</v>
      </c>
      <c r="C81" t="s">
        <v>43</v>
      </c>
      <c r="D81" t="s">
        <v>25</v>
      </c>
      <c r="E81" t="s">
        <v>26</v>
      </c>
      <c r="F81">
        <v>202.6</v>
      </c>
      <c r="G81">
        <v>22</v>
      </c>
      <c r="H81" s="2">
        <v>356.73117727281289</v>
      </c>
      <c r="I81" s="2">
        <v>19.961502325665961</v>
      </c>
      <c r="J81" s="2">
        <v>365.85744357222751</v>
      </c>
      <c r="K81" s="2">
        <v>1.1709193988515489</v>
      </c>
      <c r="L81" s="3">
        <v>199.63474281431991</v>
      </c>
      <c r="M81" s="1">
        <f t="shared" si="2"/>
        <v>1.4636017698322248E-2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Dashboard_Tab</vt:lpstr>
      <vt:lpstr>AvgPlayerLoad_By_position_group</vt:lpstr>
      <vt:lpstr>H-SRD_by_position_group</vt:lpstr>
      <vt:lpstr>%BML_loss_by_position_group</vt:lpstr>
      <vt:lpstr>Daily_Progressive_Fatigue_&amp;_ReS</vt:lpstr>
      <vt:lpstr>Physiological Hydration Respone</vt:lpstr>
      <vt:lpstr>Master_Performance_Data_Sheet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carneybd@cua.edu</cp:lastModifiedBy>
  <dcterms:created xsi:type="dcterms:W3CDTF">2026-06-09T18:26:13Z</dcterms:created>
  <dcterms:modified xsi:type="dcterms:W3CDTF">2026-07-03T13:44:43Z</dcterms:modified>
</cp:coreProperties>
</file>